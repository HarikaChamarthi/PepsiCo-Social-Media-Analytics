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2.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s" sheetId="1" r:id="rId5"/>
    <sheet state="visible" name="Vedio link" sheetId="2" r:id="rId6"/>
    <sheet state="visible" name="Hashtag_Long" sheetId="3" r:id="rId7"/>
    <sheet state="visible" name="Engagement Summary" sheetId="4" r:id="rId8"/>
    <sheet state="visible" name="Avg_Engagement_by_Platform" sheetId="5" r:id="rId9"/>
    <sheet state="visible" name="Pivot_Content_Platform" sheetId="6" r:id="rId10"/>
    <sheet state="visible" name="Avg_Clicks_by_Hashtag" sheetId="7" r:id="rId11"/>
    <sheet state="visible" name="Most frequently used hashtags" sheetId="8" r:id="rId12"/>
    <sheet state="visible" name="Avg_Growth_by_Platform" sheetId="9" r:id="rId13"/>
    <sheet state="visible" name="Engagement_vs_AdSpend" sheetId="10" r:id="rId14"/>
    <sheet state="visible" name="Task 3 - Conclusion" sheetId="11" r:id="rId15"/>
    <sheet state="visible" name="Content_vs_Platform" sheetId="12" r:id="rId16"/>
    <sheet state="visible" name="Task 4 – Content Strategy Recom" sheetId="13" r:id="rId17"/>
    <sheet state="visible" name="Campaign Metadata" sheetId="14" r:id="rId18"/>
    <sheet state="visible" name="Campaign_Performance" sheetId="15" r:id="rId19"/>
    <sheet state="visible" name="Campaign_Engagement_Uplift" sheetId="16" r:id="rId20"/>
    <sheet state="visible" name="Highest ROI (Engagement vs Budg" sheetId="17" r:id="rId21"/>
    <sheet state="visible" name="Follower_Growth_Impact" sheetId="18" r:id="rId22"/>
    <sheet state="visible" name="Weekly_Follower_Growth_Trends" sheetId="19" r:id="rId23"/>
    <sheet state="visible" name="Weekly_Max_Follower_Gain" sheetId="20" r:id="rId24"/>
    <sheet state="visible" name="Moving_Average_Follower_Growth" sheetId="21" r:id="rId25"/>
    <sheet state="visible" name="AdSpend_vs_FollowerGrowth" sheetId="22" r:id="rId26"/>
  </sheets>
  <definedNames/>
  <calcPr/>
  <pivotCaches>
    <pivotCache cacheId="0" r:id="rId27"/>
    <pivotCache cacheId="1" r:id="rId28"/>
    <pivotCache cacheId="2" r:id="rId29"/>
    <pivotCache cacheId="3" r:id="rId30"/>
    <pivotCache cacheId="4" r:id="rId31"/>
    <pivotCache cacheId="5" r:id="rId32"/>
    <pivotCache cacheId="6" r:id="rId33"/>
    <pivotCache cacheId="7" r:id="rId34"/>
  </pivotCaches>
</workbook>
</file>

<file path=xl/sharedStrings.xml><?xml version="1.0" encoding="utf-8"?>
<sst xmlns="http://schemas.openxmlformats.org/spreadsheetml/2006/main" count="3403" uniqueCount="483">
  <si>
    <t>Post ID</t>
  </si>
  <si>
    <t>Platform_Clean</t>
  </si>
  <si>
    <t>Data</t>
  </si>
  <si>
    <t>Campaign_Name</t>
  </si>
  <si>
    <t>Content Type</t>
  </si>
  <si>
    <t>Post Text</t>
  </si>
  <si>
    <t>Likes</t>
  </si>
  <si>
    <t>Shares</t>
  </si>
  <si>
    <t>Comments</t>
  </si>
  <si>
    <t>Impressions</t>
  </si>
  <si>
    <t>Reach</t>
  </si>
  <si>
    <t>Clicks</t>
  </si>
  <si>
    <t>Hashtag_Clean_1</t>
  </si>
  <si>
    <t>hashtag_clean2</t>
  </si>
  <si>
    <t>hashtag_clean3</t>
  </si>
  <si>
    <t>Engagement_Rate</t>
  </si>
  <si>
    <t>Post_Date_Num</t>
  </si>
  <si>
    <t xml:space="preserve">Total_Engagement
</t>
  </si>
  <si>
    <t xml:space="preserve">Period_Type
</t>
  </si>
  <si>
    <t>Follower_Growth</t>
  </si>
  <si>
    <t xml:space="preserve">Week
</t>
  </si>
  <si>
    <t>P070</t>
  </si>
  <si>
    <t>FACEBOOK</t>
  </si>
  <si>
    <t>Video</t>
  </si>
  <si>
    <t>Check out our latest video on facebook!</t>
  </si>
  <si>
    <t>PepsiCoRefresh</t>
  </si>
  <si>
    <t/>
  </si>
  <si>
    <t>P224</t>
  </si>
  <si>
    <t>Image</t>
  </si>
  <si>
    <t>Check out our latest image on facebook!</t>
  </si>
  <si>
    <t>P248</t>
  </si>
  <si>
    <t>Story</t>
  </si>
  <si>
    <t>Check out our latest story on facebook!</t>
  </si>
  <si>
    <t>ThirstyForMore</t>
  </si>
  <si>
    <t>P259</t>
  </si>
  <si>
    <t>Text</t>
  </si>
  <si>
    <t>Check out our latest text on facebook!</t>
  </si>
  <si>
    <t>P277</t>
  </si>
  <si>
    <t>LiveForNow</t>
  </si>
  <si>
    <t>P246</t>
  </si>
  <si>
    <t>P120</t>
  </si>
  <si>
    <t>P159</t>
  </si>
  <si>
    <t>P137</t>
  </si>
  <si>
    <t>P077</t>
  </si>
  <si>
    <t>P152</t>
  </si>
  <si>
    <t xml:space="preserve"> </t>
  </si>
  <si>
    <t>P218</t>
  </si>
  <si>
    <t>Carousel</t>
  </si>
  <si>
    <t>Check out our latest carousel on facebook!</t>
  </si>
  <si>
    <t>P242</t>
  </si>
  <si>
    <t>Reel</t>
  </si>
  <si>
    <t>Check out our latest reel on facebook!</t>
  </si>
  <si>
    <t>P294</t>
  </si>
  <si>
    <t>P006</t>
  </si>
  <si>
    <t>P037</t>
  </si>
  <si>
    <t>P241</t>
  </si>
  <si>
    <t>P275</t>
  </si>
  <si>
    <t>P221</t>
  </si>
  <si>
    <t>P252</t>
  </si>
  <si>
    <t>P052</t>
  </si>
  <si>
    <t>P140</t>
  </si>
  <si>
    <t>SmoothLikeNitroPepsi</t>
  </si>
  <si>
    <t>P014</t>
  </si>
  <si>
    <t>P299</t>
  </si>
  <si>
    <t>P174</t>
  </si>
  <si>
    <t>P088</t>
  </si>
  <si>
    <t>P236</t>
  </si>
  <si>
    <t>AnytimeIsPepsiTime</t>
  </si>
  <si>
    <t>P056</t>
  </si>
  <si>
    <t>P012</t>
  </si>
  <si>
    <t>P235</t>
  </si>
  <si>
    <t>P033</t>
  </si>
  <si>
    <t>P293</t>
  </si>
  <si>
    <t>P292</t>
  </si>
  <si>
    <t>P245</t>
  </si>
  <si>
    <t>P255</t>
  </si>
  <si>
    <t>P247</t>
  </si>
  <si>
    <t>BetterWithPepsi</t>
  </si>
  <si>
    <t>P222</t>
  </si>
  <si>
    <t>P156</t>
  </si>
  <si>
    <t>P182</t>
  </si>
  <si>
    <t>P266</t>
  </si>
  <si>
    <t>P103</t>
  </si>
  <si>
    <t>P017</t>
  </si>
  <si>
    <t>P055</t>
  </si>
  <si>
    <t>P009</t>
  </si>
  <si>
    <t>P084</t>
  </si>
  <si>
    <t>P162</t>
  </si>
  <si>
    <t>P186</t>
  </si>
  <si>
    <t>P213</t>
  </si>
  <si>
    <t>P202</t>
  </si>
  <si>
    <t>P064</t>
  </si>
  <si>
    <t>P022</t>
  </si>
  <si>
    <t>P118</t>
  </si>
  <si>
    <t>P257</t>
  </si>
  <si>
    <t>P091</t>
  </si>
  <si>
    <t>P051</t>
  </si>
  <si>
    <t>P230</t>
  </si>
  <si>
    <t>P023</t>
  </si>
  <si>
    <t>P234</t>
  </si>
  <si>
    <t>P016</t>
  </si>
  <si>
    <t>P179</t>
  </si>
  <si>
    <t>P045</t>
  </si>
  <si>
    <t>P168</t>
  </si>
  <si>
    <t>P250</t>
  </si>
  <si>
    <t>P289</t>
  </si>
  <si>
    <t>P233</t>
  </si>
  <si>
    <t>P172</t>
  </si>
  <si>
    <t>P189</t>
  </si>
  <si>
    <t>P039</t>
  </si>
  <si>
    <t>P215</t>
  </si>
  <si>
    <t>P024</t>
  </si>
  <si>
    <t>P010</t>
  </si>
  <si>
    <t>P291</t>
  </si>
  <si>
    <t>P133</t>
  </si>
  <si>
    <t>P034</t>
  </si>
  <si>
    <t>P127</t>
  </si>
  <si>
    <t>P135</t>
  </si>
  <si>
    <t>P073</t>
  </si>
  <si>
    <t>P067</t>
  </si>
  <si>
    <t>P217</t>
  </si>
  <si>
    <t>P200</t>
  </si>
  <si>
    <t>P015</t>
  </si>
  <si>
    <t>P298</t>
  </si>
  <si>
    <t>P176</t>
  </si>
  <si>
    <t>P220</t>
  </si>
  <si>
    <t>INSTAGRAM</t>
  </si>
  <si>
    <t>Check out our latest story on instagram!</t>
  </si>
  <si>
    <t>P058</t>
  </si>
  <si>
    <t>Check out our latest reel on instagram!</t>
  </si>
  <si>
    <t>P178</t>
  </si>
  <si>
    <t>Check out our latest video on instagram!</t>
  </si>
  <si>
    <t>P175</t>
  </si>
  <si>
    <t>P214</t>
  </si>
  <si>
    <t>Check out our latest image on instagram!</t>
  </si>
  <si>
    <t>P121</t>
  </si>
  <si>
    <t>P154</t>
  </si>
  <si>
    <t>Check out our latest carousel on instagram!</t>
  </si>
  <si>
    <t>P119</t>
  </si>
  <si>
    <t>P287</t>
  </si>
  <si>
    <t>P204</t>
  </si>
  <si>
    <t>P183</t>
  </si>
  <si>
    <t>P031</t>
  </si>
  <si>
    <t>Check out our latest text on instagram!</t>
  </si>
  <si>
    <t>P093</t>
  </si>
  <si>
    <t>P263</t>
  </si>
  <si>
    <t>P226</t>
  </si>
  <si>
    <t>P123</t>
  </si>
  <si>
    <t>P163</t>
  </si>
  <si>
    <t>P269</t>
  </si>
  <si>
    <t>P043</t>
  </si>
  <si>
    <t>P029</t>
  </si>
  <si>
    <t>P271</t>
  </si>
  <si>
    <t>P136</t>
  </si>
  <si>
    <t>P258</t>
  </si>
  <si>
    <t>P148</t>
  </si>
  <si>
    <t>P068</t>
  </si>
  <si>
    <t>P085</t>
  </si>
  <si>
    <t>P041</t>
  </si>
  <si>
    <t>P028</t>
  </si>
  <si>
    <t>P094</t>
  </si>
  <si>
    <t>P060</t>
  </si>
  <si>
    <t>P147</t>
  </si>
  <si>
    <t>P004</t>
  </si>
  <si>
    <t>P192</t>
  </si>
  <si>
    <t>P272</t>
  </si>
  <si>
    <t>P195</t>
  </si>
  <si>
    <t>P132</t>
  </si>
  <si>
    <t>P229</t>
  </si>
  <si>
    <t>P131</t>
  </si>
  <si>
    <t>P105</t>
  </si>
  <si>
    <t>P196</t>
  </si>
  <si>
    <t>P110</t>
  </si>
  <si>
    <t>P075</t>
  </si>
  <si>
    <t>P065</t>
  </si>
  <si>
    <t>P035</t>
  </si>
  <si>
    <t>P251</t>
  </si>
  <si>
    <t>P011</t>
  </si>
  <si>
    <t>P158</t>
  </si>
  <si>
    <t>P227</t>
  </si>
  <si>
    <t>P151</t>
  </si>
  <si>
    <t>P282</t>
  </si>
  <si>
    <t>P018</t>
  </si>
  <si>
    <t>P019</t>
  </si>
  <si>
    <t>P126</t>
  </si>
  <si>
    <t>P167</t>
  </si>
  <si>
    <t>P185</t>
  </si>
  <si>
    <t>P081</t>
  </si>
  <si>
    <t>P059</t>
  </si>
  <si>
    <t>P177</t>
  </si>
  <si>
    <t>P079</t>
  </si>
  <si>
    <t>P260</t>
  </si>
  <si>
    <t>P097</t>
  </si>
  <si>
    <t>P231</t>
  </si>
  <si>
    <t>P106</t>
  </si>
  <si>
    <t>P082</t>
  </si>
  <si>
    <t>P268</t>
  </si>
  <si>
    <t>P290</t>
  </si>
  <si>
    <t>P261</t>
  </si>
  <si>
    <t>P228</t>
  </si>
  <si>
    <t>P122</t>
  </si>
  <si>
    <t>P080</t>
  </si>
  <si>
    <t>P021</t>
  </si>
  <si>
    <t>P036</t>
  </si>
  <si>
    <t>P090</t>
  </si>
  <si>
    <t>P095</t>
  </si>
  <si>
    <t>P237</t>
  </si>
  <si>
    <t>P020</t>
  </si>
  <si>
    <t>P030</t>
  </si>
  <si>
    <t>P203</t>
  </si>
  <si>
    <t>P145</t>
  </si>
  <si>
    <t>P232</t>
  </si>
  <si>
    <t>TWITTER</t>
  </si>
  <si>
    <t>Check out our latest story on twitter!</t>
  </si>
  <si>
    <t>P062</t>
  </si>
  <si>
    <t>Check out our latest carousel on twitter!</t>
  </si>
  <si>
    <t>P264</t>
  </si>
  <si>
    <t>Check out our latest image on twitter!</t>
  </si>
  <si>
    <t>P102</t>
  </si>
  <si>
    <t>Check out our latest reel on twitter!</t>
  </si>
  <si>
    <t>P066</t>
  </si>
  <si>
    <t>P219</t>
  </si>
  <si>
    <t>P265</t>
  </si>
  <si>
    <t>P297</t>
  </si>
  <si>
    <t>Check out our latest text on twitter!</t>
  </si>
  <si>
    <t>P141</t>
  </si>
  <si>
    <t>P087</t>
  </si>
  <si>
    <t>Check out our latest video on twitter!</t>
  </si>
  <si>
    <t>P276</t>
  </si>
  <si>
    <t>P198</t>
  </si>
  <si>
    <t>P032</t>
  </si>
  <si>
    <t>P211</t>
  </si>
  <si>
    <t>P153</t>
  </si>
  <si>
    <t>P112</t>
  </si>
  <si>
    <t>P129</t>
  </si>
  <si>
    <t>P046</t>
  </si>
  <si>
    <t>P089</t>
  </si>
  <si>
    <t>P109</t>
  </si>
  <si>
    <t>P047</t>
  </si>
  <si>
    <t>P295</t>
  </si>
  <si>
    <t>P138</t>
  </si>
  <si>
    <t>P165</t>
  </si>
  <si>
    <t>P173</t>
  </si>
  <si>
    <t>P166</t>
  </si>
  <si>
    <t>P207</t>
  </si>
  <si>
    <t>P061</t>
  </si>
  <si>
    <t>P125</t>
  </si>
  <si>
    <t>P040</t>
  </si>
  <si>
    <t>P184</t>
  </si>
  <si>
    <t>P092</t>
  </si>
  <si>
    <t>P254</t>
  </si>
  <si>
    <t>P114</t>
  </si>
  <si>
    <t>P128</t>
  </si>
  <si>
    <t>P117</t>
  </si>
  <si>
    <t>P161</t>
  </si>
  <si>
    <t>P284</t>
  </si>
  <si>
    <t>P113</t>
  </si>
  <si>
    <t>P098</t>
  </si>
  <si>
    <t>P278</t>
  </si>
  <si>
    <t>P206</t>
  </si>
  <si>
    <t>P049</t>
  </si>
  <si>
    <t>P205</t>
  </si>
  <si>
    <t>P096</t>
  </si>
  <si>
    <t>P108</t>
  </si>
  <si>
    <t>P193</t>
  </si>
  <si>
    <t>P044</t>
  </si>
  <si>
    <t>P243</t>
  </si>
  <si>
    <t>P069</t>
  </si>
  <si>
    <t>P160</t>
  </si>
  <si>
    <t>P001</t>
  </si>
  <si>
    <t>P201</t>
  </si>
  <si>
    <t>P249</t>
  </si>
  <si>
    <t>P253</t>
  </si>
  <si>
    <t>P240</t>
  </si>
  <si>
    <t>P187</t>
  </si>
  <si>
    <t>P300</t>
  </si>
  <si>
    <t>P209</t>
  </si>
  <si>
    <t>P078</t>
  </si>
  <si>
    <t>P076</t>
  </si>
  <si>
    <t>P057</t>
  </si>
  <si>
    <t>P274</t>
  </si>
  <si>
    <t>P149</t>
  </si>
  <si>
    <t>P002</t>
  </si>
  <si>
    <t>P048</t>
  </si>
  <si>
    <t>P238</t>
  </si>
  <si>
    <t>P134</t>
  </si>
  <si>
    <t>P007</t>
  </si>
  <si>
    <t>P170</t>
  </si>
  <si>
    <t>P197</t>
  </si>
  <si>
    <t>P267</t>
  </si>
  <si>
    <t>P115</t>
  </si>
  <si>
    <t>P223</t>
  </si>
  <si>
    <t>P025</t>
  </si>
  <si>
    <t>P296</t>
  </si>
  <si>
    <t>P283</t>
  </si>
  <si>
    <t>P225</t>
  </si>
  <si>
    <t>P063</t>
  </si>
  <si>
    <t>P143</t>
  </si>
  <si>
    <t>YOUTUBE</t>
  </si>
  <si>
    <t>Check out our latest carousel on youtube!</t>
  </si>
  <si>
    <t>P210</t>
  </si>
  <si>
    <t>Check out our latest image on youtube!</t>
  </si>
  <si>
    <t>P053</t>
  </si>
  <si>
    <t>P124</t>
  </si>
  <si>
    <t>P244</t>
  </si>
  <si>
    <t>Check out our latest video on youtube!</t>
  </si>
  <si>
    <t>P239</t>
  </si>
  <si>
    <t>Check out our latest text on youtube!</t>
  </si>
  <si>
    <t>P181</t>
  </si>
  <si>
    <t>P042</t>
  </si>
  <si>
    <t>Check out our latest reel on youtube!</t>
  </si>
  <si>
    <t>P146</t>
  </si>
  <si>
    <t>P286</t>
  </si>
  <si>
    <t>P116</t>
  </si>
  <si>
    <t>P054</t>
  </si>
  <si>
    <t>P083</t>
  </si>
  <si>
    <t>P164</t>
  </si>
  <si>
    <t>P262</t>
  </si>
  <si>
    <t>P104</t>
  </si>
  <si>
    <t>Check out our latest story on youtube!</t>
  </si>
  <si>
    <t>P285</t>
  </si>
  <si>
    <t>P050</t>
  </si>
  <si>
    <t>P074</t>
  </si>
  <si>
    <t>P038</t>
  </si>
  <si>
    <t>P169</t>
  </si>
  <si>
    <t>P212</t>
  </si>
  <si>
    <t>P071</t>
  </si>
  <si>
    <t>P155</t>
  </si>
  <si>
    <t>P157</t>
  </si>
  <si>
    <t>P008</t>
  </si>
  <si>
    <t>P191</t>
  </si>
  <si>
    <t>P171</t>
  </si>
  <si>
    <t>P273</t>
  </si>
  <si>
    <t>P139</t>
  </si>
  <si>
    <t>P100</t>
  </si>
  <si>
    <t>P180</t>
  </si>
  <si>
    <t>P026</t>
  </si>
  <si>
    <t>P130</t>
  </si>
  <si>
    <t>P072</t>
  </si>
  <si>
    <t>P208</t>
  </si>
  <si>
    <t>P199</t>
  </si>
  <si>
    <t>P188</t>
  </si>
  <si>
    <t>P194</t>
  </si>
  <si>
    <t>P280</t>
  </si>
  <si>
    <t>P013</t>
  </si>
  <si>
    <t>P111</t>
  </si>
  <si>
    <t>P101</t>
  </si>
  <si>
    <t>P099</t>
  </si>
  <si>
    <t>P027</t>
  </si>
  <si>
    <t>P142</t>
  </si>
  <si>
    <t>P288</t>
  </si>
  <si>
    <t>P270</t>
  </si>
  <si>
    <t>P005</t>
  </si>
  <si>
    <t>P086</t>
  </si>
  <si>
    <t>P144</t>
  </si>
  <si>
    <t>P150</t>
  </si>
  <si>
    <t>P281</t>
  </si>
  <si>
    <t>P107</t>
  </si>
  <si>
    <t>P279</t>
  </si>
  <si>
    <t>P216</t>
  </si>
  <si>
    <t>P256</t>
  </si>
  <si>
    <t>P190</t>
  </si>
  <si>
    <t>P003</t>
  </si>
  <si>
    <t>Video Link</t>
  </si>
  <si>
    <t>https://drive.google.com/file/d/1Iif33WYpArPZwY1hlmqILMIdPJ4vEkmL/view?usp=sharing</t>
  </si>
  <si>
    <t>Hashtag</t>
  </si>
  <si>
    <t>Week_Start_Date</t>
  </si>
  <si>
    <t>Platform</t>
  </si>
  <si>
    <t>New_Followers</t>
  </si>
  <si>
    <t>Unfollows</t>
  </si>
  <si>
    <t>Total_Followers</t>
  </si>
  <si>
    <t>Ad_Spend</t>
  </si>
  <si>
    <t>2024-06-03</t>
  </si>
  <si>
    <t>Instagram</t>
  </si>
  <si>
    <t>Facebook</t>
  </si>
  <si>
    <t>Twitter</t>
  </si>
  <si>
    <t>YouTube</t>
  </si>
  <si>
    <t>2024-06-10</t>
  </si>
  <si>
    <t>2024-06-17</t>
  </si>
  <si>
    <t>2024-06-24</t>
  </si>
  <si>
    <t>2024-07-01</t>
  </si>
  <si>
    <t>2024-07-08</t>
  </si>
  <si>
    <t>2024-07-15</t>
  </si>
  <si>
    <t>2024-07-22</t>
  </si>
  <si>
    <t>2024-07-29</t>
  </si>
  <si>
    <t>2024-08-05</t>
  </si>
  <si>
    <t>2024-08-12</t>
  </si>
  <si>
    <t>2024-08-19</t>
  </si>
  <si>
    <t>2024-08-26</t>
  </si>
  <si>
    <t>2024-09-02</t>
  </si>
  <si>
    <t>2024-09-09</t>
  </si>
  <si>
    <t>2024-09-16</t>
  </si>
  <si>
    <t>2024-09-23</t>
  </si>
  <si>
    <t>2024-09-30</t>
  </si>
  <si>
    <t>2024-10-07</t>
  </si>
  <si>
    <t>2024-10-14</t>
  </si>
  <si>
    <t>2024-10-21</t>
  </si>
  <si>
    <t>2024-10-28</t>
  </si>
  <si>
    <t>2024-11-04</t>
  </si>
  <si>
    <t>2024-11-11</t>
  </si>
  <si>
    <t>2024-11-18</t>
  </si>
  <si>
    <t>2024-11-25</t>
  </si>
  <si>
    <t>2024-12-02</t>
  </si>
  <si>
    <t>2024-12-09</t>
  </si>
  <si>
    <t>2024-12-16</t>
  </si>
  <si>
    <t>2024-12-23</t>
  </si>
  <si>
    <t>2024-12-30</t>
  </si>
  <si>
    <t>2025-01-06</t>
  </si>
  <si>
    <t>2025-01-13</t>
  </si>
  <si>
    <t>2025-01-20</t>
  </si>
  <si>
    <t>2025-01-27</t>
  </si>
  <si>
    <t>2025-02-03</t>
  </si>
  <si>
    <t>2025-02-10</t>
  </si>
  <si>
    <t>2025-02-17</t>
  </si>
  <si>
    <t>2025-02-24</t>
  </si>
  <si>
    <t>2025-03-03</t>
  </si>
  <si>
    <t>2025-03-10</t>
  </si>
  <si>
    <t>2025-03-17</t>
  </si>
  <si>
    <t>2025-03-24</t>
  </si>
  <si>
    <t>2025-03-31</t>
  </si>
  <si>
    <t>2025-04-07</t>
  </si>
  <si>
    <t>2025-04-14</t>
  </si>
  <si>
    <t>2025-04-21</t>
  </si>
  <si>
    <t>2025-04-28</t>
  </si>
  <si>
    <t>2025-05-05</t>
  </si>
  <si>
    <t>2025-05-12</t>
  </si>
  <si>
    <t>AVERAGE of Engagement_Rate</t>
  </si>
  <si>
    <t>Values</t>
  </si>
  <si>
    <t>Grand Total</t>
  </si>
  <si>
    <t>Total Likes</t>
  </si>
  <si>
    <t>Total shares</t>
  </si>
  <si>
    <t>Total Comments</t>
  </si>
  <si>
    <t>AVERAGE of Clicks</t>
  </si>
  <si>
    <t>Rank</t>
  </si>
  <si>
    <t>COUNTA of Post ID</t>
  </si>
  <si>
    <t>AVERAGE of Comments</t>
  </si>
  <si>
    <t>AVERAGE of Likes</t>
  </si>
  <si>
    <t>AVERAGE of New_Followers</t>
  </si>
  <si>
    <t>AVERAGE of Ad_Spend</t>
  </si>
  <si>
    <t>Task 3 – Part 4: Platform Strategy Recommendation</t>
  </si>
  <si>
    <t>Based on the analysis done in Task 3, we can clearly see that all platforms are not performing equally.
From the average engagement rate analysis, Instagram has the highest engagement rate, followed closely by Twitter. Facebook and YouTube show comparatively lower engagement levels than these two platforms.
From the growth rate analysis using average new followers, Instagram again shows the highest follower growth, and Twitter also performs well. This indicates that these platforms are not only engaging users better but are also growing their audience faster.
From the engagement versus ad spend analysis, we can observe that Instagram gives good engagement even with moderate ad spend, which makes it more cost-effective. Some platforms spend more on ads but do not receive proportionally higher engagement in return.
Therefore, it is better for the company to focus mainly on 1–2 core platforms, especially Instagram and Twitter, instead of spreading the budget equally across all platforms.
By focusing more on these high-performing platforms, the company can achieve:
-Higher engagement
-Better return on ad spend
-Faster follower growth
However, the company should still maintain a presence on other platforms like Facebook and YouTube, but with lower budget and lower priority, mainly for brand visibility.
Conclusion:
The best strategy is to focus primarily on Instagram and Twitter as core platforms, while maintaining a limited multi-platform presence to ensure overall brand reach and visibility.</t>
  </si>
  <si>
    <t>Task 4 – Part 3: Content Type Strategy Recommendation</t>
  </si>
  <si>
    <t>Based on the content vs platform analysis, we can see that different platforms perform better with different content types.
On Instagram, Reels and Carousels show the highest average likes and comments compared to Images, Stories, and Text posts. This indicates that Instagram users prefer more visual and interactive content. Therefore, Instagram should prioritize Reels and Carousels to maximize engagement.
On Facebook, Carousels and Stories perform better than other content types. These formats attract more user interaction in terms of likes and comments. Hence, Facebook should focus more on Carousel posts and Stories for better performance.
On YouTube, Videos (Reels/Video content) clearly perform the best, with higher average engagement compared to Images and Text. This is expected because YouTube is primarily a video-based platform. Therefore, YouTube should prioritize Video content as the main content type.
Overall, the content strategy should be platform-specific:
-Instagram: Focus mainly on Reels and Carousels
-Facebook: Focus on Carousels and Stories
-YouTube: Strongly prioritize Video content
This platform-wise content strategy will help improve engagement and make better use of content creation efforts.</t>
  </si>
  <si>
    <t>Start_Date</t>
  </si>
  <si>
    <t>End_Date</t>
  </si>
  <si>
    <t>Objective</t>
  </si>
  <si>
    <t>Total_Budget</t>
  </si>
  <si>
    <t>Target_Platforms</t>
  </si>
  <si>
    <t>Primary_Hashtags</t>
  </si>
  <si>
    <t>SummerSplash</t>
  </si>
  <si>
    <t>Brand Awareness</t>
  </si>
  <si>
    <t>Instagram,Facebook</t>
  </si>
  <si>
    <t>#ThirstyForMore,#PepsiCoRefresh</t>
  </si>
  <si>
    <t>FestiveRadiance</t>
  </si>
  <si>
    <t>Engagement</t>
  </si>
  <si>
    <t>Instagram,YouTube</t>
  </si>
  <si>
    <t>#AnytimeIsPepsiTime,</t>
  </si>
  <si>
    <t>NewYearRefresh</t>
  </si>
  <si>
    <t>Product Launch</t>
  </si>
  <si>
    <t>Facebook,Twitter</t>
  </si>
  <si>
    <t>#SmoothLikeNitroPepsi</t>
  </si>
  <si>
    <t>DailyWellness</t>
  </si>
  <si>
    <t>Traffic</t>
  </si>
  <si>
    <t>Instagram,Twitter</t>
  </si>
  <si>
    <t>#BetterWithPepsi,#LiveForNow</t>
  </si>
  <si>
    <t>SUM of Impressions</t>
  </si>
  <si>
    <t>AVERAGE of Impressions</t>
  </si>
  <si>
    <t>SUM of Likes</t>
  </si>
  <si>
    <t>SUM of Comments</t>
  </si>
  <si>
    <t>Outside Campaign</t>
  </si>
  <si>
    <t xml:space="preserve">SUM of Total_Engagement
</t>
  </si>
  <si>
    <t>Before Campaign</t>
  </si>
  <si>
    <t>During Campaign</t>
  </si>
  <si>
    <t xml:space="preserve">Engagement_Uplift_%
</t>
  </si>
  <si>
    <t>Total_Engagement</t>
  </si>
  <si>
    <t>ROI</t>
  </si>
  <si>
    <t>SUM of Reach</t>
  </si>
  <si>
    <t>AVERAGE of Reach</t>
  </si>
  <si>
    <t>SUM of Follower_Growth</t>
  </si>
  <si>
    <t>Sum of Follower_Growth</t>
  </si>
  <si>
    <t xml:space="preserve">Moving_Avg_3_Weeks
</t>
  </si>
  <si>
    <t>Total_Follower_Growth</t>
  </si>
  <si>
    <t>Correlation between Ad Spend &amp; Follower Growth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</si>
</sst>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
    <font>
      <sz val="11.0"/>
      <color theme="1"/>
      <name val="Calibri"/>
      <scheme val="minor"/>
    </font>
    <font>
      <b/>
      <sz val="11.0"/>
      <color theme="1"/>
      <name val="Calibri"/>
    </font>
    <font>
      <b/>
      <color theme="1"/>
      <name val="Calibri"/>
      <scheme val="minor"/>
    </font>
    <font>
      <color theme="1"/>
      <name val="Calibri"/>
    </font>
    <font>
      <color theme="1"/>
      <name val="Arial"/>
    </font>
    <font>
      <color theme="1"/>
      <name val="Calibri"/>
      <scheme val="minor"/>
    </font>
    <font>
      <u/>
      <color rgb="FF0000FF"/>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1" numFmtId="164" xfId="0" applyAlignment="1" applyBorder="1" applyFont="1" applyNumberFormat="1">
      <alignment horizontal="center" readingOrder="0" vertical="top"/>
    </xf>
    <xf borderId="0" fillId="0" fontId="2" numFmtId="0" xfId="0" applyAlignment="1" applyFont="1">
      <alignment readingOrder="0"/>
    </xf>
    <xf borderId="1" fillId="0" fontId="1" numFmtId="4" xfId="0" applyAlignment="1" applyBorder="1" applyFont="1" applyNumberFormat="1">
      <alignment horizontal="center" vertical="top"/>
    </xf>
    <xf borderId="1" fillId="0" fontId="1" numFmtId="4" xfId="0" applyAlignment="1" applyBorder="1" applyFont="1" applyNumberFormat="1">
      <alignment horizontal="center" shrinkToFit="0" vertical="top" wrapText="1"/>
    </xf>
    <xf borderId="1" fillId="0" fontId="1" numFmtId="0" xfId="0" applyAlignment="1" applyBorder="1" applyFont="1">
      <alignment horizontal="center" readingOrder="0" vertical="top"/>
    </xf>
    <xf borderId="0" fillId="0" fontId="2" numFmtId="10" xfId="0" applyAlignment="1" applyFont="1" applyNumberFormat="1">
      <alignment readingOrder="0"/>
    </xf>
    <xf borderId="0" fillId="0" fontId="3" numFmtId="0" xfId="0" applyFont="1"/>
    <xf borderId="0" fillId="0" fontId="3" numFmtId="164" xfId="0" applyFont="1" applyNumberFormat="1"/>
    <xf borderId="0" fillId="0" fontId="3" numFmtId="4" xfId="0" applyFont="1" applyNumberFormat="1"/>
    <xf borderId="0" fillId="0" fontId="4" numFmtId="0" xfId="0" applyAlignment="1" applyFont="1">
      <alignment vertical="bottom"/>
    </xf>
    <xf borderId="0" fillId="0" fontId="5" numFmtId="10" xfId="0" applyFont="1" applyNumberFormat="1"/>
    <xf borderId="0" fillId="0" fontId="5" numFmtId="164" xfId="0" applyFont="1" applyNumberFormat="1"/>
    <xf borderId="0" fillId="0" fontId="5" numFmtId="0" xfId="0" applyFont="1"/>
    <xf borderId="0" fillId="0" fontId="5" numFmtId="4" xfId="0" applyFont="1" applyNumberFormat="1"/>
    <xf borderId="0" fillId="0" fontId="5" numFmtId="0" xfId="0" applyAlignment="1" applyFont="1">
      <alignment readingOrder="0"/>
    </xf>
    <xf borderId="0" fillId="0" fontId="5" numFmtId="164" xfId="0" applyAlignment="1" applyFont="1" applyNumberFormat="1">
      <alignment readingOrder="0"/>
    </xf>
    <xf borderId="0" fillId="0" fontId="2" numFmtId="0" xfId="0" applyAlignment="1" applyFont="1">
      <alignment readingOrder="0"/>
    </xf>
    <xf borderId="0" fillId="0" fontId="6" numFmtId="0" xfId="0" applyAlignment="1" applyFont="1">
      <alignment readingOrder="0"/>
    </xf>
    <xf borderId="0" fillId="0" fontId="7" numFmtId="0" xfId="0" applyFont="1"/>
    <xf borderId="0" fillId="0" fontId="5" numFmtId="2" xfId="0" applyFont="1" applyNumberFormat="1"/>
    <xf borderId="1" fillId="0" fontId="1" numFmtId="164" xfId="0" applyAlignment="1" applyBorder="1" applyFont="1" applyNumberFormat="1">
      <alignment horizontal="center" shrinkToFit="0" vertical="top" wrapText="1"/>
    </xf>
    <xf borderId="1" fillId="0" fontId="1" numFmtId="164" xfId="0" applyAlignment="1" applyBorder="1" applyFont="1" applyNumberFormat="1">
      <alignment horizontal="center" vertical="top"/>
    </xf>
    <xf borderId="1" fillId="0" fontId="7" numFmtId="0" xfId="0" applyBorder="1" applyFont="1"/>
    <xf borderId="1" fillId="0" fontId="7" numFmtId="164" xfId="0" applyAlignment="1" applyBorder="1" applyFont="1" applyNumberFormat="1">
      <alignment shrinkToFit="0" wrapText="1"/>
    </xf>
    <xf borderId="1" fillId="0" fontId="7" numFmtId="164" xfId="0" applyBorder="1" applyFont="1" applyNumberFormat="1"/>
    <xf borderId="1" fillId="0" fontId="7" numFmtId="0" xfId="0" applyAlignment="1" applyBorder="1" applyFont="1">
      <alignment shrinkToFit="0" wrapText="1"/>
    </xf>
    <xf borderId="0" fillId="0" fontId="3" numFmtId="164" xfId="0" applyAlignment="1" applyFont="1" applyNumberFormat="1">
      <alignment shrinkToFit="0" wrapText="1"/>
    </xf>
    <xf borderId="0" fillId="0" fontId="3" numFmtId="0" xfId="0" applyAlignment="1" applyFont="1">
      <alignment shrinkToFit="0" wrapText="1"/>
    </xf>
    <xf borderId="0" fillId="0" fontId="5" numFmtId="10" xfId="0" applyAlignment="1" applyFont="1" applyNumberFormat="1">
      <alignment readingOrder="0"/>
    </xf>
    <xf borderId="0" fillId="0" fontId="2" numFmtId="0" xfId="0" applyFont="1"/>
    <xf borderId="0" fillId="0" fontId="2" numFmtId="0" xfId="0" applyFont="1"/>
    <xf borderId="0" fillId="0" fontId="5" numFmtId="0" xfId="0" applyFont="1"/>
  </cellXfs>
  <cellStyles count="1">
    <cellStyle xfId="0" name="Normal" builtinId="0"/>
  </cellStyles>
  <dxfs count="3">
    <dxf>
      <font/>
      <fill>
        <patternFill patternType="solid">
          <fgColor rgb="FFB7E1CD"/>
          <bgColor rgb="FFB7E1CD"/>
        </patternFill>
      </fill>
      <border/>
    </dxf>
    <dxf>
      <font>
        <b/>
      </font>
      <fill>
        <patternFill patternType="solid">
          <fgColor rgb="FFB7E1CD"/>
          <bgColor rgb="FFB7E1CD"/>
        </patternFill>
      </fill>
      <border/>
    </dxf>
    <dxf>
      <font>
        <b/>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pivotCacheDefinition" Target="pivotCache/pivotCacheDefinition2.xml"/><Relationship Id="rId27"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pivotCacheDefinition" Target="pivotCache/pivotCacheDefinition3.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pivotCacheDefinition" Target="pivotCache/pivotCacheDefinition5.xml"/><Relationship Id="rId30" Type="http://schemas.openxmlformats.org/officeDocument/2006/relationships/pivotCacheDefinition" Target="pivotCache/pivotCacheDefinition4.xml"/><Relationship Id="rId11" Type="http://schemas.openxmlformats.org/officeDocument/2006/relationships/worksheet" Target="worksheets/sheet7.xml"/><Relationship Id="rId33" Type="http://schemas.openxmlformats.org/officeDocument/2006/relationships/pivotCacheDefinition" Target="pivotCache/pivotCacheDefinition7.xml"/><Relationship Id="rId10" Type="http://schemas.openxmlformats.org/officeDocument/2006/relationships/worksheet" Target="worksheets/sheet6.xml"/><Relationship Id="rId32" Type="http://schemas.openxmlformats.org/officeDocument/2006/relationships/pivotCacheDefinition" Target="pivotCache/pivotCacheDefinition6.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pivotCacheDefinition" Target="pivotCache/pivotCacheDefinition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Engagement_Rate and AVERAGE of Ad_Spend</a:t>
            </a:r>
          </a:p>
        </c:rich>
      </c:tx>
      <c:overlay val="0"/>
    </c:title>
    <c:plotArea>
      <c:layout/>
      <c:barChart>
        <c:barDir val="col"/>
        <c:ser>
          <c:idx val="0"/>
          <c:order val="0"/>
          <c:tx>
            <c:strRef>
              <c:f>Engagement_vs_AdSpend!$B$1</c:f>
            </c:strRef>
          </c:tx>
          <c:spPr>
            <a:solidFill>
              <a:schemeClr val="accent1"/>
            </a:solidFill>
            <a:ln cmpd="sng">
              <a:solidFill>
                <a:srgbClr val="000000"/>
              </a:solidFill>
            </a:ln>
          </c:spPr>
          <c:cat>
            <c:strRef>
              <c:f>Engagement_vs_AdSpend!$A$2:$A$5</c:f>
            </c:strRef>
          </c:cat>
          <c:val>
            <c:numRef>
              <c:f>Engagement_vs_AdSpend!$B$2:$B$5</c:f>
              <c:numCache/>
            </c:numRef>
          </c:val>
        </c:ser>
        <c:axId val="1112340030"/>
        <c:axId val="449613245"/>
      </c:barChart>
      <c:lineChart>
        <c:varyColors val="0"/>
        <c:ser>
          <c:idx val="1"/>
          <c:order val="1"/>
          <c:tx>
            <c:strRef>
              <c:f>Engagement_vs_AdSpend!$C$1</c:f>
            </c:strRef>
          </c:tx>
          <c:spPr>
            <a:ln cmpd="sng">
              <a:solidFill>
                <a:srgbClr val="C0504D"/>
              </a:solidFill>
            </a:ln>
          </c:spPr>
          <c:marker>
            <c:symbol val="none"/>
          </c:marker>
          <c:cat>
            <c:strRef>
              <c:f>Engagement_vs_AdSpend!$A$2:$A$5</c:f>
            </c:strRef>
          </c:cat>
          <c:val>
            <c:numRef>
              <c:f>Engagement_vs_AdSpend!$C$2:$C$5</c:f>
              <c:numCache/>
            </c:numRef>
          </c:val>
          <c:smooth val="0"/>
        </c:ser>
        <c:axId val="1112340030"/>
        <c:axId val="449613245"/>
      </c:lineChart>
      <c:catAx>
        <c:axId val="11123400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Platform</a:t>
                </a:r>
              </a:p>
            </c:rich>
          </c:tx>
          <c:overlay val="0"/>
        </c:title>
        <c:numFmt formatCode="General" sourceLinked="1"/>
        <c:majorTickMark val="none"/>
        <c:minorTickMark val="none"/>
        <c:spPr/>
        <c:txPr>
          <a:bodyPr/>
          <a:lstStyle/>
          <a:p>
            <a:pPr lvl="0">
              <a:defRPr b="0">
                <a:solidFill>
                  <a:srgbClr val="000000"/>
                </a:solidFill>
                <a:latin typeface="+mn-lt"/>
              </a:defRPr>
            </a:pPr>
          </a:p>
        </c:txPr>
        <c:crossAx val="449613245"/>
      </c:catAx>
      <c:valAx>
        <c:axId val="4496132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234003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Follower Growth Trends by Platform
</a:t>
            </a:r>
          </a:p>
        </c:rich>
      </c:tx>
      <c:overlay val="0"/>
    </c:title>
    <c:plotArea>
      <c:layout/>
      <c:lineChart>
        <c:ser>
          <c:idx val="0"/>
          <c:order val="0"/>
          <c:tx>
            <c:strRef>
              <c:f>Weekly_Follower_Growth_Trends!$C$1:$C$3</c:f>
            </c:strRef>
          </c:tx>
          <c:spPr>
            <a:ln cmpd="sng">
              <a:solidFill>
                <a:srgbClr val="4F81BD"/>
              </a:solidFill>
            </a:ln>
          </c:spPr>
          <c:marker>
            <c:symbol val="none"/>
          </c:marker>
          <c:cat>
            <c:strRef>
              <c:f>Weekly_Follower_Growth_Trends!$A$4:$A$1000</c:f>
            </c:strRef>
          </c:cat>
          <c:val>
            <c:numRef>
              <c:f>Weekly_Follower_Growth_Trends!$C$4:$C$1000</c:f>
              <c:numCache/>
            </c:numRef>
          </c:val>
          <c:smooth val="0"/>
        </c:ser>
        <c:ser>
          <c:idx val="1"/>
          <c:order val="1"/>
          <c:tx>
            <c:strRef>
              <c:f>Weekly_Follower_Growth_Trends!$D$1:$D$3</c:f>
            </c:strRef>
          </c:tx>
          <c:spPr>
            <a:ln cmpd="sng">
              <a:solidFill>
                <a:srgbClr val="C0504D"/>
              </a:solidFill>
            </a:ln>
          </c:spPr>
          <c:marker>
            <c:symbol val="none"/>
          </c:marker>
          <c:cat>
            <c:strRef>
              <c:f>Weekly_Follower_Growth_Trends!$A$4:$A$1000</c:f>
            </c:strRef>
          </c:cat>
          <c:val>
            <c:numRef>
              <c:f>Weekly_Follower_Growth_Trends!$D$4:$D$1000</c:f>
              <c:numCache/>
            </c:numRef>
          </c:val>
          <c:smooth val="0"/>
        </c:ser>
        <c:ser>
          <c:idx val="2"/>
          <c:order val="2"/>
          <c:tx>
            <c:strRef>
              <c:f>Weekly_Follower_Growth_Trends!$E$1:$E$3</c:f>
            </c:strRef>
          </c:tx>
          <c:spPr>
            <a:ln cmpd="sng">
              <a:solidFill>
                <a:srgbClr val="9BBB59"/>
              </a:solidFill>
            </a:ln>
          </c:spPr>
          <c:marker>
            <c:symbol val="none"/>
          </c:marker>
          <c:cat>
            <c:strRef>
              <c:f>Weekly_Follower_Growth_Trends!$A$4:$A$1000</c:f>
            </c:strRef>
          </c:cat>
          <c:val>
            <c:numRef>
              <c:f>Weekly_Follower_Growth_Trends!$E$4:$E$1000</c:f>
              <c:numCache/>
            </c:numRef>
          </c:val>
          <c:smooth val="0"/>
        </c:ser>
        <c:ser>
          <c:idx val="3"/>
          <c:order val="3"/>
          <c:tx>
            <c:strRef>
              <c:f>Weekly_Follower_Growth_Trends!$F$1:$F$3</c:f>
            </c:strRef>
          </c:tx>
          <c:spPr>
            <a:ln cmpd="sng">
              <a:solidFill>
                <a:srgbClr val="8064A2"/>
              </a:solidFill>
            </a:ln>
          </c:spPr>
          <c:marker>
            <c:symbol val="none"/>
          </c:marker>
          <c:cat>
            <c:strRef>
              <c:f>Weekly_Follower_Growth_Trends!$A$4:$A$1000</c:f>
            </c:strRef>
          </c:cat>
          <c:val>
            <c:numRef>
              <c:f>Weekly_Follower_Growth_Trends!$F$4:$F$1000</c:f>
              <c:numCache/>
            </c:numRef>
          </c:val>
          <c:smooth val="0"/>
        </c:ser>
        <c:axId val="19547154"/>
        <c:axId val="1103425834"/>
      </c:lineChart>
      <c:catAx>
        <c:axId val="195471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Number</a:t>
                </a:r>
              </a:p>
            </c:rich>
          </c:tx>
          <c:overlay val="0"/>
        </c:title>
        <c:numFmt formatCode="General" sourceLinked="1"/>
        <c:majorTickMark val="none"/>
        <c:minorTickMark val="none"/>
        <c:spPr/>
        <c:txPr>
          <a:bodyPr/>
          <a:lstStyle/>
          <a:p>
            <a:pPr lvl="0">
              <a:defRPr b="0">
                <a:solidFill>
                  <a:srgbClr val="000000"/>
                </a:solidFill>
                <a:latin typeface="+mn-lt"/>
              </a:defRPr>
            </a:pPr>
          </a:p>
        </c:txPr>
        <c:crossAx val="1103425834"/>
      </c:catAx>
      <c:valAx>
        <c:axId val="11034258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Net Follower Growth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4715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Moving Average of Weekly Follower Growth
</a:t>
            </a:r>
          </a:p>
        </c:rich>
      </c:tx>
      <c:overlay val="0"/>
    </c:title>
    <c:plotArea>
      <c:layout/>
      <c:lineChart>
        <c:ser>
          <c:idx val="0"/>
          <c:order val="0"/>
          <c:tx>
            <c:strRef>
              <c:f>Moving_Average_Follower_Growth!$B$1</c:f>
            </c:strRef>
          </c:tx>
          <c:spPr>
            <a:ln cmpd="sng">
              <a:solidFill>
                <a:srgbClr val="4F81BD"/>
              </a:solidFill>
            </a:ln>
          </c:spPr>
          <c:marker>
            <c:symbol val="none"/>
          </c:marker>
          <c:cat>
            <c:strRef>
              <c:f>Moving_Average_Follower_Growth!$A$2:$A$52</c:f>
            </c:strRef>
          </c:cat>
          <c:val>
            <c:numRef>
              <c:f>Moving_Average_Follower_Growth!$B$2:$B$52</c:f>
              <c:numCache/>
            </c:numRef>
          </c:val>
          <c:smooth val="0"/>
        </c:ser>
        <c:ser>
          <c:idx val="1"/>
          <c:order val="1"/>
          <c:tx>
            <c:strRef>
              <c:f>Moving_Average_Follower_Growth!$C$1</c:f>
            </c:strRef>
          </c:tx>
          <c:spPr>
            <a:ln cmpd="sng" w="38100">
              <a:solidFill>
                <a:srgbClr val="C0504D"/>
              </a:solidFill>
            </a:ln>
          </c:spPr>
          <c:marker>
            <c:symbol val="none"/>
          </c:marker>
          <c:cat>
            <c:strRef>
              <c:f>Moving_Average_Follower_Growth!$A$2:$A$52</c:f>
            </c:strRef>
          </c:cat>
          <c:val>
            <c:numRef>
              <c:f>Moving_Average_Follower_Growth!$C$2:$C$52</c:f>
              <c:numCache/>
            </c:numRef>
          </c:val>
          <c:smooth val="0"/>
        </c:ser>
        <c:axId val="554261317"/>
        <c:axId val="1159874826"/>
      </c:lineChart>
      <c:catAx>
        <c:axId val="5542613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a:t>
                </a:r>
              </a:p>
            </c:rich>
          </c:tx>
          <c:overlay val="0"/>
        </c:title>
        <c:numFmt formatCode="General" sourceLinked="1"/>
        <c:majorTickMark val="none"/>
        <c:minorTickMark val="none"/>
        <c:spPr/>
        <c:txPr>
          <a:bodyPr/>
          <a:lstStyle/>
          <a:p>
            <a:pPr lvl="0">
              <a:defRPr b="0">
                <a:solidFill>
                  <a:srgbClr val="000000"/>
                </a:solidFill>
                <a:latin typeface="+mn-lt"/>
              </a:defRPr>
            </a:pPr>
          </a:p>
        </c:txPr>
        <c:crossAx val="1159874826"/>
      </c:catAx>
      <c:valAx>
        <c:axId val="11598748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426131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Total_Follower_Growth vs. Total_Budget</a:t>
            </a:r>
          </a:p>
        </c:rich>
      </c:tx>
      <c:overlay val="0"/>
    </c:title>
    <c:plotArea>
      <c:layout/>
      <c:scatterChart>
        <c:scatterStyle val="lineMarker"/>
        <c:varyColors val="0"/>
        <c:ser>
          <c:idx val="0"/>
          <c:order val="0"/>
          <c:tx>
            <c:strRef>
              <c:f>AdSpend_vs_FollowerGrowth!$C$1</c:f>
            </c:strRef>
          </c:tx>
          <c:spPr>
            <a:ln>
              <a:noFill/>
            </a:ln>
          </c:spPr>
          <c:marker>
            <c:symbol val="circle"/>
            <c:size val="7"/>
            <c:spPr>
              <a:solidFill>
                <a:schemeClr val="accent1"/>
              </a:solidFill>
              <a:ln cmpd="sng">
                <a:solidFill>
                  <a:schemeClr val="accent1"/>
                </a:solidFill>
              </a:ln>
            </c:spPr>
          </c:marker>
          <c:xVal>
            <c:numRef>
              <c:f>AdSpend_vs_FollowerGrowth!$B$2:$B$5</c:f>
            </c:numRef>
          </c:xVal>
          <c:yVal>
            <c:numRef>
              <c:f>AdSpend_vs_FollowerGrowth!$C$2:$C$5</c:f>
              <c:numCache/>
            </c:numRef>
          </c:yVal>
        </c:ser>
        <c:dLbls>
          <c:showLegendKey val="0"/>
          <c:showVal val="0"/>
          <c:showCatName val="0"/>
          <c:showSerName val="0"/>
          <c:showPercent val="0"/>
          <c:showBubbleSize val="0"/>
        </c:dLbls>
        <c:axId val="1632698457"/>
        <c:axId val="579913886"/>
      </c:scatterChart>
      <c:valAx>
        <c:axId val="16326984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Total_Budget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9913886"/>
      </c:valAx>
      <c:valAx>
        <c:axId val="5799138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Total_Follower_Growth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2698457"/>
      </c:valAx>
    </c:plotArea>
    <c:legend>
      <c:legendPos val="r"/>
      <c:overlay val="0"/>
      <c:txPr>
        <a:bodyPr/>
        <a:lstStyle/>
        <a:p>
          <a:pPr lvl="0">
            <a:defRPr b="0">
              <a:solidFill>
                <a:srgbClr val="1A1A1A"/>
              </a:solidFill>
              <a:latin typeface="+mn-lt"/>
            </a:defRPr>
          </a:pPr>
        </a:p>
      </c:txPr>
    </c:legend>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666750</xdr:colOff>
      <xdr:row>1</xdr:row>
      <xdr:rowOff>38100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161925</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0</xdr:row>
      <xdr:rowOff>190500</xdr:rowOff>
    </xdr:from>
    <xdr:ext cx="6124575"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504825</xdr:colOff>
      <xdr:row>4</xdr:row>
      <xdr:rowOff>57150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000" sheet="Engagement Summary"/>
  </cacheSource>
  <cacheFields>
    <cacheField name="Week_Start_Date" numFmtId="0">
      <sharedItems containsBlank="1">
        <s v="2024-06-03"/>
        <s v="2024-06-10"/>
        <s v="2024-06-17"/>
        <s v="2024-06-24"/>
        <s v="2024-07-01"/>
        <s v="2024-07-08"/>
        <s v="2024-07-15"/>
        <s v="2024-07-22"/>
        <s v="2024-07-29"/>
        <s v="2024-08-05"/>
        <s v="2024-08-12"/>
        <s v="2024-08-19"/>
        <s v="2024-08-26"/>
        <s v="2024-09-02"/>
        <s v="2024-09-09"/>
        <s v="2024-09-16"/>
        <s v="2024-09-23"/>
        <s v="2024-09-30"/>
        <s v="2024-10-07"/>
        <s v="2024-10-14"/>
        <s v="2024-10-21"/>
        <s v="2024-10-28"/>
        <s v="2024-11-04"/>
        <s v="2024-11-11"/>
        <s v="2024-11-18"/>
        <s v="2024-11-25"/>
        <s v="2024-12-02"/>
        <s v="2024-12-09"/>
        <s v="2024-12-16"/>
        <s v="2024-12-23"/>
        <s v="2024-12-30"/>
        <s v="2025-01-06"/>
        <s v="2025-01-13"/>
        <s v="2025-01-20"/>
        <s v="2025-01-27"/>
        <s v="2025-02-03"/>
        <s v="2025-02-10"/>
        <s v="2025-02-17"/>
        <s v="2025-02-24"/>
        <s v="2025-03-03"/>
        <s v="2025-03-10"/>
        <s v="2025-03-17"/>
        <s v="2025-03-24"/>
        <s v="2025-03-31"/>
        <s v="2025-04-07"/>
        <s v="2025-04-14"/>
        <s v="2025-04-21"/>
        <s v="2025-04-28"/>
        <s v="2025-05-05"/>
        <s v="2025-05-12"/>
        <m/>
      </sharedItems>
    </cacheField>
    <cacheField name="Platform" numFmtId="0">
      <sharedItems containsBlank="1">
        <s v="Instagram"/>
        <s v="Facebook"/>
        <s v="Twitter"/>
        <s v="YouTube"/>
        <m/>
      </sharedItems>
    </cacheField>
    <cacheField name="New_Followers" numFmtId="0">
      <sharedItems containsString="0" containsBlank="1" containsNumber="1" containsInteger="1">
        <n v="1135.0"/>
        <n v="1312.0"/>
        <n v="584.0"/>
        <n v="1535.0"/>
        <n v="656.0"/>
        <n v="1697.0"/>
        <n v="436.0"/>
        <n v="1197.0"/>
        <n v="1048.0"/>
        <n v="1753.0"/>
        <n v="1335.0"/>
        <n v="403.0"/>
        <n v="911.0"/>
        <n v="1779.0"/>
        <n v="1238.0"/>
        <n v="308.0"/>
        <n v="226.0"/>
        <n v="505.0"/>
        <n v="1420.0"/>
        <n v="144.0"/>
        <n v="1757.0"/>
        <n v="350.0"/>
        <n v="987.0"/>
        <n v="883.0"/>
        <n v="1960.0"/>
        <n v="170.0"/>
        <n v="704.0"/>
        <n v="224.0"/>
        <n v="508.0"/>
        <n v="1391.0"/>
        <n v="1701.0"/>
        <n v="804.0"/>
        <n v="653.0"/>
        <n v="160.0"/>
        <n v="1756.0"/>
        <n v="576.0"/>
        <n v="645.0"/>
        <n v="214.0"/>
        <n v="826.0"/>
        <n v="460.0"/>
        <n v="1528.0"/>
        <n v="1534.0"/>
        <n v="485.0"/>
        <n v="1210.0"/>
        <n v="215.0"/>
        <n v="1078.0"/>
        <n v="1751.0"/>
        <n v="221.0"/>
        <n v="1685.0"/>
        <n v="248.0"/>
        <n v="1300.0"/>
        <n v="422.0"/>
        <n v="1429.0"/>
        <n v="1520.0"/>
        <n v="557.0"/>
        <n v="728.0"/>
        <n v="1592.0"/>
        <n v="1842.0"/>
        <n v="751.0"/>
        <n v="1409.0"/>
        <n v="778.0"/>
        <n v="443.0"/>
        <n v="1472.0"/>
        <n v="123.0"/>
        <n v="817.0"/>
        <n v="198.0"/>
        <n v="1911.0"/>
        <n v="1218.0"/>
        <n v="1433.0"/>
        <n v="250.0"/>
        <n v="752.0"/>
        <n v="1918.0"/>
        <n v="1939.0"/>
        <n v="1929.0"/>
        <n v="437.0"/>
        <n v="307.0"/>
        <n v="1527.0"/>
        <n v="643.0"/>
        <n v="201.0"/>
        <n v="414.0"/>
        <n v="703.0"/>
        <n v="697.0"/>
        <n v="1707.0"/>
        <n v="642.0"/>
        <n v="859.0"/>
        <n v="191.0"/>
        <n v="1814.0"/>
        <n v="1466.0"/>
        <n v="947.0"/>
        <n v="1821.0"/>
        <n v="1507.0"/>
        <n v="1075.0"/>
        <n v="171.0"/>
        <n v="1487.0"/>
        <n v="454.0"/>
        <n v="187.0"/>
        <n v="513.0"/>
        <n v="628.0"/>
        <n v="278.0"/>
        <n v="1854.0"/>
        <n v="1710.0"/>
        <n v="330.0"/>
        <n v="1293.0"/>
        <n v="1696.0"/>
        <n v="1902.0"/>
        <n v="1441.0"/>
        <n v="452.0"/>
        <n v="1494.0"/>
        <n v="1514.0"/>
        <n v="1937.0"/>
        <n v="736.0"/>
        <n v="1502.0"/>
        <n v="1623.0"/>
        <n v="1004.0"/>
        <n v="1092.0"/>
        <n v="1155.0"/>
        <n v="1137.0"/>
        <n v="1900.0"/>
        <n v="1980.0"/>
        <n v="1786.0"/>
        <n v="1495.0"/>
        <n v="1013.0"/>
        <n v="816.0"/>
        <n v="1633.0"/>
        <n v="891.0"/>
        <n v="1855.0"/>
        <n v="651.0"/>
        <n v="118.0"/>
        <n v="1331.0"/>
        <n v="1748.0"/>
        <n v="663.0"/>
        <n v="1040.0"/>
        <n v="1166.0"/>
        <n v="115.0"/>
        <n v="1249.0"/>
        <n v="1501.0"/>
        <n v="1411.0"/>
        <n v="1556.0"/>
        <n v="1159.0"/>
        <n v="927.0"/>
        <n v="152.0"/>
        <n v="1957.0"/>
        <n v="1294.0"/>
        <n v="1587.0"/>
        <n v="1138.0"/>
        <n v="1895.0"/>
        <n v="362.0"/>
        <n v="1662.0"/>
        <n v="1440.0"/>
        <n v="1884.0"/>
        <n v="861.0"/>
        <n v="1063.0"/>
        <n v="1371.0"/>
        <n v="345.0"/>
        <n v="946.0"/>
        <n v="510.0"/>
        <n v="393.0"/>
        <n v="1098.0"/>
        <n v="1399.0"/>
        <n v="1658.0"/>
        <n v="1102.0"/>
        <n v="1358.0"/>
        <n v="1077.0"/>
        <n v="1596.0"/>
        <n v="490.0"/>
        <n v="609.0"/>
        <n v="364.0"/>
        <n v="442.0"/>
        <n v="1033.0"/>
        <n v="988.0"/>
        <n v="1946.0"/>
        <n v="559.0"/>
        <n v="1307.0"/>
        <n v="1432.0"/>
        <n v="623.0"/>
        <n v="353.0"/>
        <n v="520.0"/>
        <n v="961.0"/>
        <n v="1375.0"/>
        <n v="1147.0"/>
        <n v="1693.0"/>
        <n v="833.0"/>
        <n v="1222.0"/>
        <n v="777.0"/>
        <n v="405.0"/>
        <n v="1581.0"/>
        <n v="1035.0"/>
        <n v="1765.0"/>
        <n v="837.0"/>
        <n v="337.0"/>
        <n v="119.0"/>
        <m/>
      </sharedItems>
    </cacheField>
    <cacheField name="Unfollows" numFmtId="0">
      <sharedItems containsString="0" containsBlank="1" containsNumber="1" containsInteger="1">
        <n v="88.0"/>
        <n v="310.0"/>
        <n v="169.0"/>
        <n v="445.0"/>
        <n v="139.0"/>
        <n v="414.0"/>
        <n v="250.0"/>
        <n v="203.0"/>
        <n v="155.0"/>
        <n v="371.0"/>
        <n v="40.0"/>
        <n v="66.0"/>
        <n v="282.0"/>
        <n v="109.0"/>
        <n v="403.0"/>
        <n v="431.0"/>
        <n v="441.0"/>
        <n v="63.0"/>
        <n v="53.0"/>
        <n v="85.0"/>
        <n v="41.0"/>
        <n v="440.0"/>
        <n v="369.0"/>
        <n v="115.0"/>
        <n v="334.0"/>
        <n v="275.0"/>
        <n v="64.0"/>
        <n v="349.0"/>
        <n v="430.0"/>
        <n v="385.0"/>
        <n v="487.0"/>
        <n v="112.0"/>
        <n v="478.0"/>
        <n v="261.0"/>
        <n v="101.0"/>
        <n v="293.0"/>
        <n v="411.0"/>
        <n v="498.0"/>
        <n v="141.0"/>
        <n v="200.0"/>
        <n v="448.0"/>
        <n v="178.0"/>
        <n v="20.0"/>
        <n v="86.0"/>
        <n v="31.0"/>
        <n v="76.0"/>
        <n v="211.0"/>
        <n v="71.0"/>
        <n v="394.0"/>
        <n v="182.0"/>
        <n v="475.0"/>
        <n v="360.0"/>
        <n v="395.0"/>
        <n v="491.0"/>
        <n v="309.0"/>
        <n v="401.0"/>
        <n v="345.0"/>
        <n v="347.0"/>
        <n v="151.0"/>
        <n v="217.0"/>
        <n v="231.0"/>
        <n v="212.0"/>
        <n v="408.0"/>
        <n v="429.0"/>
        <n v="153.0"/>
        <n v="67.0"/>
        <n v="267.0"/>
        <n v="330.0"/>
        <n v="189.0"/>
        <n v="303.0"/>
        <n v="358.0"/>
        <n v="221.0"/>
        <n v="47.0"/>
        <n v="69.0"/>
        <n v="61.0"/>
        <n v="223.0"/>
        <n v="473.0"/>
        <n v="154.0"/>
        <n v="157.0"/>
        <n v="407.0"/>
        <n v="218.0"/>
        <n v="463.0"/>
        <n v="173.0"/>
        <n v="277.0"/>
        <n v="337.0"/>
        <n v="105.0"/>
        <n v="236.0"/>
        <n v="183.0"/>
        <n v="161.0"/>
        <n v="378.0"/>
        <n v="232.0"/>
        <n v="196.0"/>
        <n v="268.0"/>
        <n v="375.0"/>
        <n v="210.0"/>
        <n v="163.0"/>
        <n v="70.0"/>
        <n v="246.0"/>
        <n v="233.0"/>
        <n v="128.0"/>
        <n v="425.0"/>
        <n v="226.0"/>
        <n v="311.0"/>
        <n v="49.0"/>
        <n v="204.0"/>
        <n v="257.0"/>
        <n v="35.0"/>
        <n v="110.0"/>
        <n v="45.0"/>
        <n v="133.0"/>
        <n v="353.0"/>
        <n v="262.0"/>
        <n v="176.0"/>
        <n v="149.0"/>
        <n v="442.0"/>
        <n v="281.0"/>
        <n v="351.0"/>
        <n v="75.0"/>
        <n v="186.0"/>
        <n v="476.0"/>
        <n v="355.0"/>
        <n v="234.0"/>
        <n v="382.0"/>
        <n v="263.0"/>
        <n v="305.0"/>
        <n v="399.0"/>
        <n v="65.0"/>
        <n v="177.0"/>
        <n v="56.0"/>
        <n v="464.0"/>
        <n v="195.0"/>
        <n v="181.0"/>
        <n v="190.0"/>
        <n v="416.0"/>
        <n v="422.0"/>
        <n v="242.0"/>
        <n v="216.0"/>
        <n v="29.0"/>
        <n v="135.0"/>
        <n v="72.0"/>
        <n v="392.0"/>
        <n v="474.0"/>
        <n v="270.0"/>
        <n v="490.0"/>
        <n v="278.0"/>
        <n v="373.0"/>
        <n v="300.0"/>
        <n v="388.0"/>
        <n v="74.0"/>
        <n v="380.0"/>
        <n v="274.0"/>
        <n v="140.0"/>
        <n v="171.0"/>
        <n v="68.0"/>
        <n v="456.0"/>
        <m/>
      </sharedItems>
    </cacheField>
    <cacheField name="Total_Followers" numFmtId="0">
      <sharedItems containsString="0" containsBlank="1" containsNumber="1" containsInteger="1">
        <n v="344084.0"/>
        <n v="42654.0"/>
        <n v="146834.0"/>
        <n v="395536.0"/>
        <n v="49157.0"/>
        <n v="316555.0"/>
        <n v="254347.0"/>
        <n v="413878.0"/>
        <n v="456946.0"/>
        <n v="169496.0"/>
        <n v="122732.0"/>
        <n v="382851.0"/>
        <n v="35664.0"/>
        <n v="26295.0"/>
        <n v="298421.0"/>
        <n v="426184.0"/>
        <n v="419447.0"/>
        <n v="220020.0"/>
        <n v="315305.0"/>
        <n v="113678.0"/>
        <n v="58223.0"/>
        <n v="251694.0"/>
        <n v="389810.0"/>
        <n v="233694.0"/>
        <n v="154169.0"/>
        <n v="334626.0"/>
        <n v="226002.0"/>
        <n v="156683.0"/>
        <n v="473812.0"/>
        <n v="295032.0"/>
        <n v="198278.0"/>
        <n v="306564.0"/>
        <n v="23664.0"/>
        <n v="435034.0"/>
        <n v="287574.0"/>
        <n v="62499.0"/>
        <n v="437968.0"/>
        <n v="125034.0"/>
        <n v="449994.0"/>
        <n v="320650.0"/>
        <n v="489188.0"/>
        <n v="307612.0"/>
        <n v="434883.0"/>
        <n v="102042.0"/>
        <n v="325444.0"/>
        <n v="183924.0"/>
        <n v="188655.0"/>
        <n v="87443.0"/>
        <n v="453799.0"/>
        <n v="379380.0"/>
        <n v="186454.0"/>
        <n v="239044.0"/>
        <n v="101332.0"/>
        <n v="496982.0"/>
        <n v="318779.0"/>
        <n v="370971.0"/>
        <n v="378054.0"/>
        <n v="307524.0"/>
        <n v="434047.0"/>
        <n v="64583.0"/>
        <n v="50793.0"/>
        <n v="474162.0"/>
        <n v="392355.0"/>
        <n v="119934.0"/>
        <n v="422625.0"/>
        <n v="239753.0"/>
        <n v="268516.0"/>
        <n v="63177.0"/>
        <n v="370269.0"/>
        <n v="453423.0"/>
        <n v="64906.0"/>
        <n v="94360.0"/>
        <n v="187183.0"/>
        <n v="379363.0"/>
        <n v="476486.0"/>
        <n v="117767.0"/>
        <n v="388555.0"/>
        <n v="157599.0"/>
        <n v="309772.0"/>
        <n v="199178.0"/>
        <n v="357089.0"/>
        <n v="23492.0"/>
        <n v="258287.0"/>
        <n v="256910.0"/>
        <n v="346522.0"/>
        <n v="209987.0"/>
        <n v="240550.0"/>
        <n v="305827.0"/>
        <n v="54935.0"/>
        <n v="319186.0"/>
        <n v="439080.0"/>
        <n v="258944.0"/>
        <n v="51395.0"/>
        <n v="309483.0"/>
        <n v="87305.0"/>
        <n v="121091.0"/>
        <n v="51087.0"/>
        <n v="338847.0"/>
        <n v="487523.0"/>
        <n v="301695.0"/>
        <n v="282466.0"/>
        <n v="336661.0"/>
        <n v="88455.0"/>
        <n v="62535.0"/>
        <n v="421957.0"/>
        <n v="470269.0"/>
        <n v="309904.0"/>
        <n v="221274.0"/>
        <n v="220616.0"/>
        <n v="35842.0"/>
        <n v="20607.0"/>
        <n v="451894.0"/>
        <n v="465553.0"/>
        <n v="415815.0"/>
        <n v="327183.0"/>
        <n v="488901.0"/>
        <n v="280795.0"/>
        <n v="93347.0"/>
        <n v="81119.0"/>
        <n v="25177.0"/>
        <n v="140804.0"/>
        <n v="379431.0"/>
        <n v="274831.0"/>
        <n v="136845.0"/>
        <n v="466382.0"/>
        <n v="95728.0"/>
        <n v="371156.0"/>
        <n v="95410.0"/>
        <n v="349413.0"/>
        <n v="224699.0"/>
        <n v="487896.0"/>
        <n v="14437.0"/>
        <n v="383681.0"/>
        <n v="479490.0"/>
        <n v="124404.0"/>
        <n v="336949.0"/>
        <n v="357265.0"/>
        <n v="321307.0"/>
        <n v="262569.0"/>
        <n v="461669.0"/>
        <n v="351556.0"/>
        <n v="135987.0"/>
        <n v="177554.0"/>
        <n v="270766.0"/>
        <n v="222126.0"/>
        <n v="309914.0"/>
        <n v="126582.0"/>
        <n v="485280.0"/>
        <n v="453243.0"/>
        <n v="104967.0"/>
        <n v="145608.0"/>
        <n v="105980.0"/>
        <n v="126524.0"/>
        <n v="230448.0"/>
        <n v="317007.0"/>
        <n v="464239.0"/>
        <n v="257579.0"/>
        <n v="366881.0"/>
        <n v="466575.0"/>
        <n v="224534.0"/>
        <n v="462142.0"/>
        <n v="340842.0"/>
        <n v="12471.0"/>
        <n v="98397.0"/>
        <n v="410330.0"/>
        <n v="342129.0"/>
        <n v="12447.0"/>
        <n v="17380.0"/>
        <n v="364810.0"/>
        <n v="373606.0"/>
        <n v="211090.0"/>
        <n v="441931.0"/>
        <n v="282780.0"/>
        <n v="370070.0"/>
        <n v="198350.0"/>
        <n v="435726.0"/>
        <n v="78789.0"/>
        <n v="98596.0"/>
        <n v="29589.0"/>
        <n v="290354.0"/>
        <n v="66682.0"/>
        <n v="70707.0"/>
        <n v="142507.0"/>
        <n v="369525.0"/>
        <n v="62942.0"/>
        <n v="377382.0"/>
        <n v="333851.0"/>
        <n v="270958.0"/>
        <n v="445944.0"/>
        <n v="224830.0"/>
        <n v="487289.0"/>
        <n v="11435.0"/>
        <n v="447902.0"/>
        <n v="418696.0"/>
        <n v="484364.0"/>
        <n v="148477.0"/>
        <n v="468301.0"/>
        <n v="364820.0"/>
        <n v="456298.0"/>
        <n v="82558.0"/>
        <m/>
      </sharedItems>
    </cacheField>
    <cacheField name="Engagement_Rate" numFmtId="0">
      <sharedItems containsString="0" containsBlank="1" containsNumber="1">
        <n v="8.06"/>
        <n v="4.98"/>
        <n v="8.31"/>
        <n v="4.11"/>
        <n v="9.05"/>
        <n v="2.37"/>
        <n v="4.01"/>
        <n v="3.16"/>
        <n v="2.46"/>
        <n v="8.11"/>
        <n v="8.19"/>
        <n v="3.49"/>
        <n v="6.92"/>
        <n v="9.12"/>
        <n v="3.5"/>
        <n v="2.62"/>
        <n v="9.36"/>
        <n v="4.48"/>
        <n v="6.19"/>
        <n v="8.72"/>
        <n v="8.74"/>
        <n v="1.91"/>
        <n v="4.66"/>
        <n v="2.88"/>
        <n v="3.74"/>
        <n v="6.44"/>
        <n v="8.56"/>
        <n v="4.56"/>
        <n v="7.88"/>
        <n v="7.86"/>
        <n v="5.34"/>
        <n v="5.52"/>
        <n v="4.05"/>
        <n v="7.73"/>
        <n v="4.36"/>
        <n v="3.48"/>
        <n v="7.83"/>
        <n v="6.11"/>
        <n v="9.43"/>
        <n v="4.04"/>
        <n v="6.23"/>
        <n v="6.01"/>
        <n v="8.55"/>
        <n v="5.42"/>
        <n v="3.25"/>
        <n v="8.84"/>
        <n v="7.24"/>
        <n v="5.71"/>
        <n v="9.04"/>
        <n v="3.91"/>
        <n v="7.16"/>
        <n v="6.41"/>
        <n v="8.02"/>
        <n v="3.86"/>
        <n v="9.09"/>
        <n v="1.76"/>
        <n v="9.24"/>
        <n v="8.99"/>
        <n v="3.4"/>
        <n v="9.2"/>
        <n v="8.59"/>
        <n v="2.36"/>
        <n v="7.36"/>
        <n v="8.13"/>
        <n v="3.3"/>
        <n v="1.77"/>
        <n v="2.09"/>
        <n v="6.25"/>
        <n v="1.75"/>
        <n v="4.97"/>
        <n v="9.3"/>
        <n v="8.9"/>
        <n v="3.88"/>
        <n v="5.9"/>
        <n v="1.53"/>
        <n v="6.5"/>
        <n v="8.25"/>
        <n v="5.41"/>
        <n v="5.85"/>
        <n v="4.46"/>
        <n v="5.22"/>
        <n v="1.99"/>
        <n v="6.85"/>
        <n v="3.32"/>
        <n v="5.68"/>
        <n v="6.08"/>
        <n v="8.7"/>
        <n v="7.97"/>
        <n v="9.41"/>
        <n v="2.68"/>
        <n v="7.32"/>
        <n v="4.68"/>
        <n v="5.17"/>
        <n v="6.2"/>
        <n v="2.69"/>
        <n v="3.79"/>
        <n v="4.79"/>
        <n v="6.37"/>
        <n v="2.65"/>
        <n v="1.81"/>
        <n v="7.47"/>
        <n v="4.2"/>
        <n v="5.43"/>
        <n v="6.66"/>
        <n v="8.09"/>
        <n v="8.44"/>
        <n v="2.02"/>
        <n v="7.74"/>
        <n v="2.89"/>
        <n v="3.09"/>
        <n v="5.3"/>
        <n v="8.2"/>
        <n v="2.22"/>
        <n v="8.33"/>
        <n v="5.61"/>
        <n v="2.56"/>
        <n v="3.29"/>
        <n v="4.51"/>
        <n v="5.23"/>
        <n v="9.23"/>
        <n v="2.01"/>
        <n v="3.72"/>
        <n v="3.89"/>
        <n v="6.95"/>
        <n v="9.48"/>
        <n v="4.61"/>
        <n v="8.03"/>
        <n v="6.99"/>
        <n v="9.03"/>
        <n v="2.86"/>
        <n v="3.85"/>
        <n v="7.3"/>
        <n v="9.08"/>
        <n v="4.34"/>
        <n v="7.8"/>
        <n v="6.58"/>
        <n v="8.62"/>
        <n v="4.55"/>
        <n v="9.4"/>
        <n v="7.23"/>
        <n v="9.39"/>
        <n v="5.12"/>
        <n v="4.94"/>
        <n v="1.8"/>
        <n v="8.64"/>
        <n v="8.52"/>
        <n v="5.53"/>
        <n v="1.87"/>
        <n v="6.27"/>
        <n v="9.46"/>
        <n v="7.5"/>
        <n v="4.73"/>
        <n v="3.19"/>
        <n v="2.49"/>
        <n v="4.5"/>
        <n v="6.49"/>
        <n v="6.73"/>
        <n v="4.83"/>
        <n v="6.54"/>
        <n v="6.8"/>
        <n v="2.6"/>
        <n v="2.44"/>
        <n v="5.69"/>
        <n v="1.6"/>
        <n v="6.09"/>
        <n v="5.59"/>
        <n v="3.55"/>
        <n v="5.21"/>
        <n v="1.82"/>
        <n v="4.0"/>
        <n v="7.57"/>
        <n v="6.81"/>
        <m/>
      </sharedItems>
    </cacheField>
    <cacheField name="Ad_Spend" numFmtId="0">
      <sharedItems containsString="0" containsBlank="1" containsNumber="1" containsInteger="1">
        <n v="5904.0"/>
        <n v="9566.0"/>
        <n v="26752.0"/>
        <n v="30671.0"/>
        <n v="9920.0"/>
        <n v="7924.0"/>
        <n v="8912.0"/>
        <n v="21205.0"/>
        <n v="11329.0"/>
        <n v="46670.0"/>
        <n v="22482.0"/>
        <n v="24313.0"/>
        <n v="18050.0"/>
        <n v="30635.0"/>
        <n v="31280.0"/>
        <n v="1783.0"/>
        <n v="42307.0"/>
        <n v="5914.0"/>
        <n v="30060.0"/>
        <n v="22728.0"/>
        <n v="38610.0"/>
        <n v="2932.0"/>
        <n v="15071.0"/>
        <n v="10740.0"/>
        <n v="43420.0"/>
        <n v="32393.0"/>
        <n v="28474.0"/>
        <n v="17328.0"/>
        <n v="26067.0"/>
        <n v="32763.0"/>
        <n v="26452.0"/>
        <n v="15353.0"/>
        <n v="4839.0"/>
        <n v="39272.0"/>
        <n v="16804.0"/>
        <n v="49303.0"/>
        <n v="26455.0"/>
        <n v="12384.0"/>
        <n v="49372.0"/>
        <n v="47101.0"/>
        <n v="37903.0"/>
        <n v="33258.0"/>
        <n v="6915.0"/>
        <n v="35501.0"/>
        <n v="14203.0"/>
        <n v="22206.0"/>
        <n v="10283.0"/>
        <n v="24913.0"/>
        <n v="26925.0"/>
        <n v="9942.0"/>
        <n v="32929.0"/>
        <n v="37829.0"/>
        <n v="24384.0"/>
        <n v="25797.0"/>
        <n v="12646.0"/>
        <n v="26663.0"/>
        <n v="40478.0"/>
        <n v="15476.0"/>
        <n v="10217.0"/>
        <n v="21939.0"/>
        <n v="47462.0"/>
        <n v="30270.0"/>
        <n v="5442.0"/>
        <n v="1083.0"/>
        <n v="11901.0"/>
        <n v="24018.0"/>
        <n v="38883.0"/>
        <n v="30575.0"/>
        <n v="2315.0"/>
        <n v="12148.0"/>
        <n v="36851.0"/>
        <n v="41215.0"/>
        <n v="43836.0"/>
        <n v="4509.0"/>
        <n v="27822.0"/>
        <n v="36397.0"/>
        <n v="7285.0"/>
        <n v="33174.0"/>
        <n v="6742.0"/>
        <n v="32478.0"/>
        <n v="42824.0"/>
        <n v="21208.0"/>
        <n v="44321.0"/>
        <n v="13116.0"/>
        <n v="30214.0"/>
        <n v="15827.0"/>
        <n v="46643.0"/>
        <n v="36484.0"/>
        <n v="4996.0"/>
        <n v="36095.0"/>
        <n v="16443.0"/>
        <n v="47812.0"/>
        <n v="38452.0"/>
        <n v="30428.0"/>
        <n v="9269.0"/>
        <n v="29533.0"/>
        <n v="39997.0"/>
        <n v="5391.0"/>
        <n v="22373.0"/>
        <n v="1810.0"/>
        <n v="28498.0"/>
        <n v="39530.0"/>
        <n v="37876.0"/>
        <n v="36103.0"/>
        <n v="26103.0"/>
        <n v="3455.0"/>
        <n v="40888.0"/>
        <n v="22724.0"/>
        <n v="18601.0"/>
        <n v="20861.0"/>
        <n v="46625.0"/>
        <n v="20692.0"/>
        <n v="18656.0"/>
        <n v="13316.0"/>
        <n v="49558.0"/>
        <n v="4683.0"/>
        <n v="47502.0"/>
        <n v="35359.0"/>
        <n v="14154.0"/>
        <n v="4313.0"/>
        <n v="25140.0"/>
        <n v="9118.0"/>
        <n v="39931.0"/>
        <n v="37132.0"/>
        <n v="17951.0"/>
        <n v="2798.0"/>
        <n v="15045.0"/>
        <n v="14548.0"/>
        <n v="45708.0"/>
        <n v="12350.0"/>
        <n v="40868.0"/>
        <n v="43122.0"/>
        <n v="23853.0"/>
        <n v="45380.0"/>
        <n v="7705.0"/>
        <n v="25525.0"/>
        <n v="20560.0"/>
        <n v="19119.0"/>
        <n v="43999.0"/>
        <n v="10825.0"/>
        <n v="40323.0"/>
        <n v="48270.0"/>
        <n v="18001.0"/>
        <n v="3314.0"/>
        <n v="23489.0"/>
        <n v="42832.0"/>
        <n v="24494.0"/>
        <n v="44097.0"/>
        <n v="31853.0"/>
        <n v="37636.0"/>
        <n v="22996.0"/>
        <n v="49772.0"/>
        <n v="22713.0"/>
        <n v="8718.0"/>
        <n v="39031.0"/>
        <n v="33799.0"/>
        <n v="20553.0"/>
        <n v="10002.0"/>
        <n v="30987.0"/>
        <n v="6296.0"/>
        <n v="21539.0"/>
        <n v="14722.0"/>
        <n v="11383.0"/>
        <n v="9480.0"/>
        <n v="29116.0"/>
        <n v="14068.0"/>
        <n v="35801.0"/>
        <n v="49077.0"/>
        <n v="21453.0"/>
        <n v="21061.0"/>
        <n v="20059.0"/>
        <n v="23140.0"/>
        <n v="23461.0"/>
        <n v="11805.0"/>
        <n v="15969.0"/>
        <n v="2436.0"/>
        <n v="47603.0"/>
        <n v="42964.0"/>
        <n v="39923.0"/>
        <n v="2293.0"/>
        <n v="25920.0"/>
        <n v="11035.0"/>
        <n v="20733.0"/>
        <n v="18693.0"/>
        <n v="7875.0"/>
        <n v="8471.0"/>
        <n v="14090.0"/>
        <n v="14216.0"/>
        <n v="3582.0"/>
        <n v="32500.0"/>
        <n v="6832.0"/>
        <n v="33381.0"/>
        <n v="48419.0"/>
        <n v="16149.0"/>
        <n v="7541.0"/>
        <n v="20042.0"/>
        <n v="49400.0"/>
        <n v="4007.0"/>
        <n v="12174.0"/>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000" sheet="Posts"/>
  </cacheSource>
  <cacheFields>
    <cacheField name="Post ID" numFmtId="0">
      <sharedItems containsBlank="1">
        <s v="P070"/>
        <s v="P224"/>
        <s v="P248"/>
        <s v="P259"/>
        <s v="P277"/>
        <s v="P246"/>
        <s v="P120"/>
        <s v="P159"/>
        <s v="P137"/>
        <s v="P077"/>
        <s v="P152"/>
        <s v="P218"/>
        <s v="P242"/>
        <s v="P294"/>
        <s v="P006"/>
        <s v="P037"/>
        <s v="P241"/>
        <s v="P275"/>
        <s v="P221"/>
        <s v="P252"/>
        <s v="P052"/>
        <s v="P140"/>
        <s v="P014"/>
        <s v="P299"/>
        <s v="P174"/>
        <s v="P088"/>
        <s v="P236"/>
        <s v="P056"/>
        <s v="P012"/>
        <s v="P235"/>
        <s v="P033"/>
        <s v="P293"/>
        <s v="P292"/>
        <s v="P245"/>
        <s v="P255"/>
        <s v="P247"/>
        <s v="P222"/>
        <s v="P156"/>
        <s v="P182"/>
        <s v="P266"/>
        <s v="P103"/>
        <s v="P017"/>
        <s v="P055"/>
        <s v="P009"/>
        <s v="P084"/>
        <s v="P162"/>
        <s v="P186"/>
        <s v="P213"/>
        <s v="P202"/>
        <s v="P064"/>
        <s v="P022"/>
        <s v="P118"/>
        <s v="P257"/>
        <s v="P091"/>
        <s v="P051"/>
        <s v="P230"/>
        <s v="P023"/>
        <s v="P234"/>
        <s v="P016"/>
        <s v="P179"/>
        <s v="P045"/>
        <s v="P168"/>
        <s v="P250"/>
        <s v="P289"/>
        <s v="P233"/>
        <s v="P172"/>
        <s v="P189"/>
        <s v="P039"/>
        <s v="P215"/>
        <s v="P024"/>
        <s v="P010"/>
        <s v="P291"/>
        <s v="P133"/>
        <s v="P034"/>
        <s v="P127"/>
        <s v="P135"/>
        <s v="P073"/>
        <s v="P067"/>
        <s v="P217"/>
        <s v="P200"/>
        <s v="P015"/>
        <s v="P298"/>
        <s v="P176"/>
        <s v="P220"/>
        <s v="P058"/>
        <s v="P178"/>
        <s v="P175"/>
        <s v="P214"/>
        <s v="P121"/>
        <s v="P154"/>
        <s v="P119"/>
        <s v="P287"/>
        <s v="P204"/>
        <s v="P183"/>
        <s v="P031"/>
        <s v="P093"/>
        <s v="P263"/>
        <s v="P226"/>
        <s v="P123"/>
        <s v="P163"/>
        <s v="P269"/>
        <s v="P043"/>
        <s v="P029"/>
        <s v="P271"/>
        <s v="P136"/>
        <s v="P258"/>
        <s v="P148"/>
        <s v="P068"/>
        <s v="P085"/>
        <s v="P041"/>
        <s v="P028"/>
        <s v="P094"/>
        <s v="P060"/>
        <s v="P147"/>
        <s v="P004"/>
        <s v="P192"/>
        <s v="P272"/>
        <s v="P195"/>
        <s v="P132"/>
        <s v="P229"/>
        <s v="P131"/>
        <s v="P105"/>
        <s v="P196"/>
        <s v="P110"/>
        <s v="P075"/>
        <s v="P065"/>
        <s v="P035"/>
        <s v="P251"/>
        <s v="P011"/>
        <s v="P158"/>
        <s v="P227"/>
        <s v="P151"/>
        <s v="P282"/>
        <s v="P018"/>
        <s v="P019"/>
        <s v="P126"/>
        <s v="P167"/>
        <s v="P185"/>
        <s v="P081"/>
        <s v="P059"/>
        <s v="P177"/>
        <s v="P079"/>
        <s v="P260"/>
        <s v="P097"/>
        <s v="P231"/>
        <s v="P106"/>
        <s v="P082"/>
        <s v="P268"/>
        <s v="P290"/>
        <s v="P261"/>
        <s v="P228"/>
        <s v="P122"/>
        <s v="P080"/>
        <s v="P021"/>
        <s v="P036"/>
        <s v="P090"/>
        <s v="P095"/>
        <s v="P237"/>
        <s v="P020"/>
        <s v="P030"/>
        <s v="P203"/>
        <s v="P145"/>
        <s v="P232"/>
        <s v="P062"/>
        <s v="P264"/>
        <s v="P102"/>
        <s v="P066"/>
        <s v="P219"/>
        <s v="P265"/>
        <s v="P297"/>
        <s v="P141"/>
        <s v="P087"/>
        <s v="P276"/>
        <s v="P198"/>
        <s v="P032"/>
        <s v="P211"/>
        <s v="P153"/>
        <s v="P112"/>
        <s v="P129"/>
        <s v="P046"/>
        <s v="P089"/>
        <s v="P109"/>
        <s v="P047"/>
        <s v="P295"/>
        <s v="P138"/>
        <s v="P165"/>
        <s v="P173"/>
        <s v="P166"/>
        <s v="P207"/>
        <s v="P061"/>
        <s v="P125"/>
        <s v="P040"/>
        <s v="P184"/>
        <s v="P092"/>
        <s v="P254"/>
        <s v="P114"/>
        <s v="P128"/>
        <s v="P117"/>
        <s v="P161"/>
        <s v="P284"/>
        <s v="P113"/>
        <s v="P098"/>
        <s v="P278"/>
        <s v="P206"/>
        <s v="P049"/>
        <s v="P205"/>
        <s v="P096"/>
        <s v="P108"/>
        <s v="P193"/>
        <s v="P044"/>
        <s v="P243"/>
        <s v="P069"/>
        <s v="P160"/>
        <s v="P001"/>
        <s v="P201"/>
        <s v="P249"/>
        <s v="P253"/>
        <s v="P240"/>
        <s v="P187"/>
        <s v="P300"/>
        <s v="P209"/>
        <s v="P078"/>
        <s v="P076"/>
        <s v="P057"/>
        <s v="P274"/>
        <s v="P149"/>
        <s v="P002"/>
        <s v="P048"/>
        <s v="P238"/>
        <s v="P134"/>
        <s v="P007"/>
        <s v="P170"/>
        <s v="P197"/>
        <s v="P267"/>
        <s v="P115"/>
        <s v="P223"/>
        <s v="P025"/>
        <s v="P296"/>
        <s v="P283"/>
        <s v="P225"/>
        <s v="P063"/>
        <s v="P143"/>
        <s v="P210"/>
        <s v="P053"/>
        <s v="P124"/>
        <s v="P244"/>
        <s v="P239"/>
        <s v="P181"/>
        <s v="P042"/>
        <s v="P146"/>
        <s v="P286"/>
        <s v="P116"/>
        <s v="P054"/>
        <s v="P083"/>
        <s v="P164"/>
        <s v="P262"/>
        <s v="P104"/>
        <s v="P285"/>
        <s v="P050"/>
        <s v="P074"/>
        <s v="P038"/>
        <s v="P169"/>
        <s v="P212"/>
        <s v="P071"/>
        <s v="P155"/>
        <s v="P157"/>
        <s v="P008"/>
        <s v="P191"/>
        <s v="P171"/>
        <s v="P273"/>
        <s v="P139"/>
        <s v="P100"/>
        <s v="P180"/>
        <s v="P026"/>
        <s v="P130"/>
        <s v="P072"/>
        <s v="P208"/>
        <s v="P199"/>
        <s v="P188"/>
        <s v="P194"/>
        <s v="P280"/>
        <s v="P013"/>
        <s v="P111"/>
        <s v="P101"/>
        <s v="P099"/>
        <s v="P027"/>
        <s v="P142"/>
        <s v="P288"/>
        <s v="P270"/>
        <s v="P005"/>
        <s v="P086"/>
        <s v="P144"/>
        <s v="P150"/>
        <s v="P281"/>
        <s v="P107"/>
        <s v="P279"/>
        <s v="P216"/>
        <s v="P256"/>
        <s v="P190"/>
        <s v="P003"/>
        <m/>
      </sharedItems>
    </cacheField>
    <cacheField name="Platform_Clean" numFmtId="0">
      <sharedItems containsBlank="1">
        <s v="FACEBOOK"/>
        <s v="INSTAGRAM"/>
        <s v="TWITTER"/>
        <s v="YOUTUBE"/>
        <m/>
      </sharedItems>
    </cacheField>
    <cacheField name="Data" numFmtId="164">
      <sharedItems containsDate="1" containsString="0" containsBlank="1">
        <d v="2025-04-02T00:00:00Z"/>
        <d v="2025-05-13T00:00:00Z"/>
        <d v="2025-02-02T00:00:00Z"/>
        <d v="2025-02-10T00:00:00Z"/>
        <d v="2025-04-06T00:00:00Z"/>
        <d v="2024-10-11T00:00:00Z"/>
        <d v="2024-10-21T00:00:00Z"/>
        <d v="2024-11-25T00:00:00Z"/>
        <d v="2024-07-31T00:00:00Z"/>
        <d v="2025-03-04T00:00:00Z"/>
        <d v="2025-04-22T00:00:00Z"/>
        <d v="2024-06-11T00:00:00Z"/>
        <d v="2024-07-07T00:00:00Z"/>
        <d v="2024-06-19T00:00:00Z"/>
        <d v="2024-10-31T00:00:00Z"/>
        <d v="2025-01-06T00:00:00Z"/>
        <d v="2025-01-18T00:00:00Z"/>
        <d v="2024-08-05T00:00:00Z"/>
        <d v="2025-03-23T00:00:00Z"/>
        <d v="2025-04-28T00:00:00Z"/>
        <d v="2025-01-03T00:00:00Z"/>
        <d v="2024-07-15T00:00:00Z"/>
        <d v="2025-02-16T00:00:00Z"/>
        <d v="2024-08-26T00:00:00Z"/>
        <d v="2024-06-22T00:00:00Z"/>
        <d v="2024-08-19T00:00:00Z"/>
        <d v="2024-12-18T00:00:00Z"/>
        <d v="2024-07-21T00:00:00Z"/>
        <d v="2024-12-22T00:00:00Z"/>
        <d v="2024-08-21T00:00:00Z"/>
        <d v="2025-05-14T00:00:00Z"/>
        <d v="2024-11-17T00:00:00Z"/>
        <d v="2025-01-12T00:00:00Z"/>
        <d v="2025-04-03T00:00:00Z"/>
        <d v="2024-08-27T00:00:00Z"/>
        <d v="2024-10-08T00:00:00Z"/>
        <d v="2024-10-22T00:00:00Z"/>
        <d v="2025-05-05T00:00:00Z"/>
        <d v="2024-06-17T00:00:00Z"/>
        <d v="2024-08-30T00:00:00Z"/>
        <d v="2024-12-09T00:00:00Z"/>
        <d v="2025-04-01T00:00:00Z"/>
        <d v="2024-08-24T00:00:00Z"/>
        <d v="2025-05-01T00:00:00Z"/>
        <d v="2024-06-02T00:00:00Z"/>
        <d v="2024-08-17T00:00:00Z"/>
        <d v="2025-02-27T00:00:00Z"/>
        <d v="2024-11-04T00:00:00Z"/>
        <d v="2025-03-24T00:00:00Z"/>
        <d v="2024-06-13T00:00:00Z"/>
        <d v="2024-11-06T00:00:00Z"/>
        <d v="2024-06-01T00:00:00Z"/>
        <d v="2024-11-01T00:00:00Z"/>
        <d v="2024-11-12T00:00:00Z"/>
        <d v="2024-11-28T00:00:00Z"/>
        <d v="2025-03-08T00:00:00Z"/>
        <d v="2024-08-14T00:00:00Z"/>
        <d v="2025-05-06T00:00:00Z"/>
        <d v="2025-01-23T00:00:00Z"/>
        <d v="2025-03-11T00:00:00Z"/>
        <d v="2025-02-06T00:00:00Z"/>
        <d v="2025-03-26T00:00:00Z"/>
        <d v="2025-01-27T00:00:00Z"/>
        <d v="2024-10-18T00:00:00Z"/>
        <d v="2025-03-29T00:00:00Z"/>
        <d v="2024-12-03T00:00:00Z"/>
        <d v="2025-04-07T00:00:00Z"/>
        <d v="2024-10-24T00:00:00Z"/>
        <d v="2024-06-20T00:00:00Z"/>
        <d v="2025-04-15T00:00:00Z"/>
        <d v="2024-11-07T00:00:00Z"/>
        <d v="2025-01-17T00:00:00Z"/>
        <d v="2024-12-23T00:00:00Z"/>
        <d v="2024-07-29T00:00:00Z"/>
        <d v="2024-10-09T00:00:00Z"/>
        <d v="2025-02-07T00:00:00Z"/>
        <d v="2024-08-15T00:00:00Z"/>
        <d v="2025-01-01T00:00:00Z"/>
        <d v="2024-12-17T00:00:00Z"/>
        <d v="2024-12-16T00:00:00Z"/>
        <d v="2024-12-11T00:00:00Z"/>
        <d v="2024-08-20T00:00:00Z"/>
        <d v="2024-08-07T00:00:00Z"/>
        <d v="2024-06-14T00:00:00Z"/>
        <d v="2025-04-08T00:00:00Z"/>
        <d v="2024-11-05T00:00:00Z"/>
        <d v="2024-12-14T00:00:00Z"/>
        <d v="2025-01-31T00:00:00Z"/>
        <d v="2024-10-17T00:00:00Z"/>
        <d v="2024-07-11T00:00:00Z"/>
        <d v="2024-12-08T00:00:00Z"/>
        <d v="2025-04-19T00:00:00Z"/>
        <d v="2025-01-28T00:00:00Z"/>
        <d v="2024-08-12T00:00:00Z"/>
        <d v="2024-11-29T00:00:00Z"/>
        <d v="2025-03-27T00:00:00Z"/>
        <d v="2024-07-03T00:00:00Z"/>
        <d v="2024-12-19T00:00:00Z"/>
        <d v="2024-08-01T00:00:00Z"/>
        <d v="2025-03-28T00:00:00Z"/>
        <d v="2024-11-30T00:00:00Z"/>
        <d v="2024-08-11T00:00:00Z"/>
        <d v="2024-06-12T00:00:00Z"/>
        <d v="2024-07-26T00:00:00Z"/>
        <d v="2024-10-03T00:00:00Z"/>
        <d v="2024-06-23T00:00:00Z"/>
        <d v="2025-01-11T00:00:00Z"/>
        <d v="2024-10-19T00:00:00Z"/>
        <d v="2024-07-10T00:00:00Z"/>
        <d v="2025-02-12T00:00:00Z"/>
        <d v="2024-08-13T00:00:00Z"/>
        <d v="2025-02-04T00:00:00Z"/>
        <d v="2024-07-24T00:00:00Z"/>
        <d v="2025-04-13T00:00:00Z"/>
        <d v="2024-12-20T00:00:00Z"/>
        <d v="2024-10-27T00:00:00Z"/>
        <d v="2024-07-01T00:00:00Z"/>
        <d v="2024-10-02T00:00:00Z"/>
        <d v="2025-01-04T00:00:00Z"/>
        <d v="2024-06-03T00:00:00Z"/>
        <d v="2024-11-08T00:00:00Z"/>
        <d v="2024-09-09T00:00:00Z"/>
        <d v="2025-02-25T00:00:00Z"/>
        <d v="2024-11-21T00:00:00Z"/>
        <d v="2025-04-29T00:00:00Z"/>
        <d v="2024-11-22T00:00:00Z"/>
        <d v="2025-01-30T00:00:00Z"/>
        <d v="2024-09-18T00:00:00Z"/>
        <d v="2025-02-20T00:00:00Z"/>
        <d v="2024-12-24T00:00:00Z"/>
        <d v="2024-08-31T00:00:00Z"/>
        <d v="2024-06-06T00:00:00Z"/>
        <d v="2024-06-07T00:00:00Z"/>
        <d v="2024-09-14T00:00:00Z"/>
        <d v="2024-07-18T00:00:00Z"/>
        <d v="2024-10-05T00:00:00Z"/>
        <d v="2025-05-02T00:00:00Z"/>
        <d v="2025-01-10T00:00:00Z"/>
        <d v="2024-08-08T00:00:00Z"/>
        <d v="2025-02-24T00:00:00Z"/>
        <d v="2024-12-05T00:00:00Z"/>
        <d v="2024-12-29T00:00:00Z"/>
        <d v="2024-09-05T00:00:00Z"/>
        <d v="2024-09-08T00:00:00Z"/>
        <d v="2025-03-07T00:00:00Z"/>
        <d v="2024-07-28T00:00:00Z"/>
        <d v="2025-01-14T00:00:00Z"/>
        <d v="2024-11-14T00:00:00Z"/>
        <d v="2025-02-19T00:00:00Z"/>
        <d v="2024-09-17T00:00:00Z"/>
        <d v="2024-06-10T00:00:00Z"/>
        <d v="2024-11-26T00:00:00Z"/>
        <d v="2024-06-24T00:00:00Z"/>
        <d v="2025-04-24T00:00:00Z"/>
        <d v="2024-09-10T00:00:00Z"/>
        <d v="2025-03-25T00:00:00Z"/>
        <d v="2024-09-11T00:00:00Z"/>
        <d v="2025-03-02T00:00:00Z"/>
        <d v="2025-03-06T00:00:00Z"/>
        <d v="2025-01-15T00:00:00Z"/>
        <d v="2024-08-03T00:00:00Z"/>
        <d v="2025-03-19T00:00:00Z"/>
        <d v="2024-06-16T00:00:00Z"/>
        <d v="2024-07-16T00:00:00Z"/>
        <d v="2024-10-04T00:00:00Z"/>
        <d v="2025-05-11T00:00:00Z"/>
        <d v="2025-04-10T00:00:00Z"/>
        <d v="2025-02-11T00:00:00Z"/>
        <d v="2025-05-09T00:00:00Z"/>
        <d v="2024-10-25T00:00:00Z"/>
        <d v="2025-03-21T00:00:00Z"/>
        <d v="2025-03-05T00:00:00Z"/>
        <d v="2024-06-05T00:00:00Z"/>
        <d v="2024-09-25T00:00:00Z"/>
        <d v="2025-03-18T00:00:00Z"/>
        <d v="2025-03-13T00:00:00Z"/>
        <d v="2024-10-15T00:00:00Z"/>
        <d v="2024-10-28T00:00:00Z"/>
        <d v="2025-02-17T00:00:00Z"/>
        <d v="2025-03-03T00:00:00Z"/>
        <d v="2024-09-02T00:00:00Z"/>
        <d v="2024-12-21T00:00:00Z"/>
        <d v="2024-07-23T00:00:00Z"/>
        <d v="2024-07-13T00:00:00Z"/>
        <d v="2024-12-31T00:00:00Z"/>
        <d v="2024-10-12T00:00:00Z"/>
        <d v="2024-10-29T00:00:00Z"/>
        <d v="2025-04-05T00:00:00Z"/>
        <d v="2024-09-29T00:00:00Z"/>
        <d v="2024-11-18T00:00:00Z"/>
        <d v="2024-11-23T00:00:00Z"/>
        <d v="2024-07-02T00:00:00Z"/>
        <d v="2025-04-17T00:00:00Z"/>
        <d v="2024-06-26T00:00:00Z"/>
        <d v="2024-08-22T00:00:00Z"/>
        <d v="2025-03-22T00:00:00Z"/>
        <d v="2024-06-21T00:00:00Z"/>
        <d v="2025-05-12T00:00:00Z"/>
        <m/>
      </sharedItems>
    </cacheField>
    <cacheField name="Campaign_Name" numFmtId="164">
      <sharedItems containsBlank="1">
        <s v="Outside Campaign"/>
        <s v="NewYearRefresh"/>
        <s v="FestiveRadiance"/>
        <s v="SummerSplash"/>
        <m/>
      </sharedItems>
    </cacheField>
    <cacheField name="Content Type" numFmtId="0">
      <sharedItems containsBlank="1">
        <s v="Video"/>
        <s v="Image"/>
        <s v="Story"/>
        <s v="Text"/>
        <s v="Carousel"/>
        <s v="Reel"/>
        <m/>
      </sharedItems>
    </cacheField>
    <cacheField name="Post Text" numFmtId="0">
      <sharedItems containsBlank="1">
        <s v="Check out our latest video on facebook!"/>
        <s v="Check out our latest image on facebook!"/>
        <s v="Check out our latest story on facebook!"/>
        <s v="Check out our latest text on facebook!"/>
        <s v="Check out our latest carousel on facebook!"/>
        <s v="Check out our latest reel on facebook!"/>
        <s v="Check out our latest story on instagram!"/>
        <s v="Check out our latest reel on instagram!"/>
        <s v="Check out our latest video on instagram!"/>
        <s v="Check out our latest image on instagram!"/>
        <s v="Check out our latest carousel on instagram!"/>
        <s v="Check out our latest text on instagram!"/>
        <s v="Check out our latest story on twitter!"/>
        <s v="Check out our latest carousel on twitter!"/>
        <s v="Check out our latest image on twitter!"/>
        <s v="Check out our latest reel on twitter!"/>
        <s v="Check out our latest text on twitter!"/>
        <s v="Check out our latest video on twitter!"/>
        <s v="Check out our latest carousel on youtube!"/>
        <s v="Check out our latest image on youtube!"/>
        <s v="Check out our latest video on youtube!"/>
        <s v="Check out our latest text on youtube!"/>
        <s v="Check out our latest reel on youtube!"/>
        <s v="Check out our latest story on youtube!"/>
        <m/>
      </sharedItems>
    </cacheField>
    <cacheField name="Likes" numFmtId="4">
      <sharedItems containsString="0" containsBlank="1" containsNumber="1" containsInteger="1">
        <n v="199.0"/>
        <n v="602.0"/>
        <n v="886.0"/>
        <n v="562.0"/>
        <n v="4236.0"/>
        <n v="400.0"/>
        <n v="780.0"/>
        <n v="2120.0"/>
        <n v="3008.0"/>
        <n v="1249.0"/>
        <n v="4804.0"/>
        <n v="1869.0"/>
        <n v="4767.0"/>
        <n v="4731.0"/>
        <n v="2945.0"/>
        <n v="3024.0"/>
        <n v="4321.0"/>
        <n v="1741.0"/>
        <n v="4453.0"/>
        <n v="2089.0"/>
        <n v="947.0"/>
        <n v="2291.0"/>
        <n v="4242.0"/>
        <n v="2581.0"/>
        <n v="3828.0"/>
        <n v="302.0"/>
        <n v="1257.0"/>
        <n v="2946.0"/>
        <n v="1946.0"/>
        <n v="3196.0"/>
        <n v="1407.0"/>
        <n v="2634.0"/>
        <n v="880.0"/>
        <n v="4134.0"/>
        <n v="3767.0"/>
        <n v="3960.0"/>
        <n v="1814.0"/>
        <n v="3352.0"/>
        <n v="4689.0"/>
        <n v="4182.0"/>
        <n v="3689.0"/>
        <n v="4441.0"/>
        <n v="1226.0"/>
        <n v="3784.0"/>
        <n v="1841.0"/>
        <n v="3430.0"/>
        <n v="4292.0"/>
        <n v="2696.0"/>
        <n v="1871.0"/>
        <n v="2878.0"/>
        <n v="1570.0"/>
        <n v="4551.0"/>
        <n v="3090.0"/>
        <n v="1263.0"/>
        <n v="2200.0"/>
        <n v="3663.0"/>
        <n v="1606.0"/>
        <n v="1272.0"/>
        <n v="3452.0"/>
        <n v="3796.0"/>
        <n v="3371.0"/>
        <n v="2418.0"/>
        <n v="3813.0"/>
        <n v="2751.0"/>
        <n v="2382.0"/>
        <n v="3073.0"/>
        <n v="3360.0"/>
        <n v="3564.0"/>
        <n v="4872.0"/>
        <n v="3961.0"/>
        <n v="4241.0"/>
        <n v="4663.0"/>
        <n v="2072.0"/>
        <n v="1652.0"/>
        <n v="4213.0"/>
        <n v="4126.0"/>
        <n v="4712.0"/>
        <n v="4606.0"/>
        <n v="3718.0"/>
        <n v="3888.0"/>
        <n v="4303.0"/>
        <n v="3798.0"/>
        <n v="84.0"/>
        <n v="103.0"/>
        <n v="129.0"/>
        <n v="142.0"/>
        <n v="521.0"/>
        <n v="498.0"/>
        <n v="985.0"/>
        <n v="1970.0"/>
        <n v="1164.0"/>
        <n v="2234.0"/>
        <n v="360.0"/>
        <n v="438.0"/>
        <n v="1431.0"/>
        <n v="2603.0"/>
        <n v="4363.0"/>
        <n v="4501.0"/>
        <n v="4561.0"/>
        <n v="2174.0"/>
        <n v="2566.0"/>
        <n v="3575.0"/>
        <n v="3134.0"/>
        <n v="3601.0"/>
        <n v="4133.0"/>
        <n v="2610.0"/>
        <n v="4177.0"/>
        <n v="456.0"/>
        <n v="432.0"/>
        <n v="2647.0"/>
        <n v="904.0"/>
        <n v="3256.0"/>
        <n v="2404.0"/>
        <n v="1176.0"/>
        <n v="4941.0"/>
        <n v="914.0"/>
        <n v="1947.0"/>
        <n v="4799.0"/>
        <n v="4840.0"/>
        <n v="1813.0"/>
        <n v="3523.0"/>
        <n v="1674.0"/>
        <n v="1881.0"/>
        <n v="3775.0"/>
        <n v="1377.0"/>
        <n v="1792.0"/>
        <n v="1762.0"/>
        <n v="246.0"/>
        <n v="3559.0"/>
        <n v="1488.0"/>
        <n v="3000.0"/>
        <n v="1071.0"/>
        <n v="4158.0"/>
        <n v="4771.0"/>
        <n v="4523.0"/>
        <n v="1816.0"/>
        <n v="2180.0"/>
        <n v="3099.0"/>
        <n v="3068.0"/>
        <n v="4332.0"/>
        <n v="4739.0"/>
        <n v="1430.0"/>
        <n v="4619.0"/>
        <n v="725.0"/>
        <n v="4579.0"/>
        <n v="2107.0"/>
        <n v="4853.0"/>
        <n v="4808.0"/>
        <n v="3432.0"/>
        <n v="2103.0"/>
        <n v="4838.0"/>
        <n v="4518.0"/>
        <n v="3861.0"/>
        <n v="3182.0"/>
        <n v="3770.0"/>
        <n v="4054.0"/>
        <n v="3095.0"/>
        <n v="3773.0"/>
        <n v="1878.0"/>
        <n v="249.0"/>
        <n v="53.0"/>
        <n v="59.0"/>
        <n v="1000.0"/>
        <n v="1188.0"/>
        <n v="1877.0"/>
        <n v="2166.0"/>
        <n v="3170.0"/>
        <n v="1436.0"/>
        <n v="1556.0"/>
        <n v="1048.0"/>
        <n v="2278.0"/>
        <n v="754.0"/>
        <n v="1957.0"/>
        <n v="2147.0"/>
        <n v="1108.0"/>
        <n v="2214.0"/>
        <n v="3649.0"/>
        <n v="2704.0"/>
        <n v="1952.0"/>
        <n v="305.0"/>
        <n v="3239.0"/>
        <n v="1330.0"/>
        <n v="1076.0"/>
        <n v="4274.0"/>
        <n v="4886.0"/>
        <n v="3811.0"/>
        <n v="4750.0"/>
        <n v="3215.0"/>
        <n v="3801.0"/>
        <n v="2692.0"/>
        <n v="4000.0"/>
        <n v="3092.0"/>
        <n v="4671.0"/>
        <n v="571.0"/>
        <n v="4419.0"/>
        <n v="1575.0"/>
        <n v="4516.0"/>
        <n v="941.0"/>
        <n v="2164.0"/>
        <n v="3820.0"/>
        <n v="1238.0"/>
        <n v="4050.0"/>
        <n v="4858.0"/>
        <n v="2358.0"/>
        <n v="3592.0"/>
        <n v="1292.0"/>
        <n v="1082.0"/>
        <n v="1461.0"/>
        <n v="802.0"/>
        <n v="827.0"/>
        <n v="3791.0"/>
        <n v="929.0"/>
        <n v="1644.0"/>
        <n v="4494.0"/>
        <n v="3160.0"/>
        <n v="954.0"/>
        <n v="1121.0"/>
        <n v="2825.0"/>
        <n v="3535.0"/>
        <n v="1702.0"/>
        <n v="1950.0"/>
        <n v="4725.0"/>
        <n v="3731.0"/>
        <n v="3860.0"/>
        <n v="3577.0"/>
        <n v="4782.0"/>
        <n v="4187.0"/>
        <n v="2493.0"/>
        <n v="3338.0"/>
        <n v="3128.0"/>
        <n v="3440.0"/>
        <n v="3367.0"/>
        <n v="4672.0"/>
        <n v="4507.0"/>
        <n v="80.0"/>
        <n v="257.0"/>
        <n v="804.0"/>
        <n v="736.0"/>
        <n v="4661.0"/>
        <n v="4188.0"/>
        <n v="606.0"/>
        <n v="1543.0"/>
        <n v="3065.0"/>
        <n v="3389.0"/>
        <n v="3704.0"/>
        <n v="1686.0"/>
        <n v="1094.0"/>
        <n v="4934.0"/>
        <n v="1206.0"/>
        <n v="3655.0"/>
        <n v="4021.0"/>
        <n v="2754.0"/>
        <n v="1855.0"/>
        <n v="3138.0"/>
        <n v="3809.0"/>
        <n v="3874.0"/>
        <n v="2551.0"/>
        <n v="2283.0"/>
        <n v="4775.0"/>
        <n v="3929.0"/>
        <n v="4285.0"/>
        <n v="1018.0"/>
        <n v="3641.0"/>
        <n v="2746.0"/>
        <n v="1766.0"/>
        <n v="3711.0"/>
        <n v="3009.0"/>
        <n v="2936.0"/>
        <n v="296.0"/>
        <n v="2949.0"/>
        <n v="2509.0"/>
        <n v="2728.0"/>
        <n v="4350.0"/>
        <n v="4275.0"/>
        <n v="1171.0"/>
        <n v="2719.0"/>
        <n v="4450.0"/>
        <n v="4171.0"/>
        <n v="2076.0"/>
        <n v="2070.0"/>
        <n v="4780.0"/>
        <n v="3774.0"/>
        <n v="3557.0"/>
        <n v="3428.0"/>
        <n v="4929.0"/>
        <n v="4295.0"/>
        <n v="3166.0"/>
        <n v="4832.0"/>
        <n v="4905.0"/>
        <n v="1509.0"/>
        <n v="2143.0"/>
        <n v="1963.0"/>
        <n v="2795.0"/>
        <m/>
      </sharedItems>
    </cacheField>
    <cacheField name="Shares" numFmtId="4">
      <sharedItems containsString="0" containsBlank="1" containsNumber="1" containsInteger="1">
        <n v="772.0"/>
        <n v="594.0"/>
        <n v="126.0"/>
        <n v="158.0"/>
        <n v="711.0"/>
        <n v="680.0"/>
        <n v="928.0"/>
        <n v="94.0"/>
        <n v="116.0"/>
        <n v="550.0"/>
        <n v="453.0"/>
        <n v="190.0"/>
        <n v="173.0"/>
        <n v="930.0"/>
        <n v="925.0"/>
        <n v="874.0"/>
        <n v="831.0"/>
        <n v="111.0"/>
        <n v="476.0"/>
        <n v="338.0"/>
        <n v="78.0"/>
        <n v="555.0"/>
        <n v="517.0"/>
        <n v="148.0"/>
        <n v="47.0"/>
        <n v="19.0"/>
        <n v="498.0"/>
        <n v="686.0"/>
        <n v="941.0"/>
        <n v="400.0"/>
        <n v="726.0"/>
        <n v="297.0"/>
        <n v="824.0"/>
        <n v="514.0"/>
        <n v="266.0"/>
        <n v="653.0"/>
        <n v="134.0"/>
        <n v="640.0"/>
        <n v="48.0"/>
        <n v="511.0"/>
        <n v="119.0"/>
        <n v="808.0"/>
        <n v="851.0"/>
        <n v="566.0"/>
        <n v="51.0"/>
        <n v="628.0"/>
        <n v="252.0"/>
        <n v="248.0"/>
        <n v="187.0"/>
        <n v="714.0"/>
        <n v="697.0"/>
        <n v="397.0"/>
        <n v="504.0"/>
        <n v="17.0"/>
        <n v="547.0"/>
        <n v="465.0"/>
        <n v="377.0"/>
        <n v="667.0"/>
        <n v="106.0"/>
        <n v="754.0"/>
        <n v="935.0"/>
        <n v="33.0"/>
        <n v="265.0"/>
        <n v="553.0"/>
        <n v="525.0"/>
        <n v="629.0"/>
        <n v="761.0"/>
        <n v="902.0"/>
        <n v="145.0"/>
        <n v="532.0"/>
        <n v="89.0"/>
        <n v="652.0"/>
        <n v="253.0"/>
        <n v="426.0"/>
        <n v="568.0"/>
        <n v="931.0"/>
        <n v="385.0"/>
        <n v="604.0"/>
        <n v="451.0"/>
        <n v="31.0"/>
        <n v="897.0"/>
        <n v="770.0"/>
        <n v="643.0"/>
        <n v="784.0"/>
        <n v="746.0"/>
        <n v="701.0"/>
        <n v="932.0"/>
        <n v="675.0"/>
        <n v="616.0"/>
        <n v="590.0"/>
        <n v="153.0"/>
        <n v="951.0"/>
        <n v="690.0"/>
        <n v="164.0"/>
        <n v="649.0"/>
        <n v="375.0"/>
        <n v="658.0"/>
        <n v="118.0"/>
        <n v="749.0"/>
        <n v="888.0"/>
        <n v="695.0"/>
        <n v="466.0"/>
        <n v="569.0"/>
        <n v="624.0"/>
        <n v="304.0"/>
        <n v="973.0"/>
        <n v="459.0"/>
        <n v="363.0"/>
        <n v="464.0"/>
        <n v="414.0"/>
        <n v="842.0"/>
        <n v="694.0"/>
        <n v="38.0"/>
        <n v="623.0"/>
        <n v="753.0"/>
        <n v="929.0"/>
        <n v="501.0"/>
        <n v="16.0"/>
        <n v="796.0"/>
        <n v="614.0"/>
        <n v="405.0"/>
        <n v="149.0"/>
        <n v="59.0"/>
        <n v="417.0"/>
        <n v="382.0"/>
        <n v="519.0"/>
        <n v="167.0"/>
        <n v="818.0"/>
        <n v="61.0"/>
        <n v="29.0"/>
        <n v="263.0"/>
        <n v="137.0"/>
        <n v="771.0"/>
        <n v="527.0"/>
        <n v="376.0"/>
        <n v="821.0"/>
        <n v="88.0"/>
        <n v="125.0"/>
        <n v="837.0"/>
        <n v="869.0"/>
        <n v="892.0"/>
        <n v="285.0"/>
        <n v="960.0"/>
        <n v="559.0"/>
        <n v="917.0"/>
        <n v="488.0"/>
        <n v="39.0"/>
        <n v="299.0"/>
        <n v="62.0"/>
        <n v="592.0"/>
        <n v="81.0"/>
        <n v="163.0"/>
        <n v="978.0"/>
        <n v="171.0"/>
        <n v="470.0"/>
        <n v="745.0"/>
        <n v="354.0"/>
        <n v="857.0"/>
        <n v="765.0"/>
        <n v="195.0"/>
        <n v="374.0"/>
        <n v="10.0"/>
        <n v="197.0"/>
        <n v="877.0"/>
        <n v="430.0"/>
        <n v="177.0"/>
        <n v="249.0"/>
        <n v="215.0"/>
        <n v="752.0"/>
        <n v="344.0"/>
        <n v="43.0"/>
        <n v="313.0"/>
        <n v="340.0"/>
        <n v="983.0"/>
        <n v="866.0"/>
        <n v="151.0"/>
        <n v="967.0"/>
        <n v="115.0"/>
        <n v="689.0"/>
        <n v="876.0"/>
        <n v="236.0"/>
        <n v="836.0"/>
        <n v="121.0"/>
        <n v="549.0"/>
        <n v="366.0"/>
        <n v="871.0"/>
        <n v="317.0"/>
        <n v="911.0"/>
        <n v="626.0"/>
        <n v="209.0"/>
        <n v="184.0"/>
        <n v="262.0"/>
        <n v="77.0"/>
        <n v="593.0"/>
        <n v="192.0"/>
        <n v="546.0"/>
        <n v="717.0"/>
        <n v="204.0"/>
        <n v="324.0"/>
        <n v="135.0"/>
        <n v="535.0"/>
        <n v="494.0"/>
        <n v="750.0"/>
        <n v="389.0"/>
        <n v="295.0"/>
        <n v="201.0"/>
        <n v="596.0"/>
        <n v="721.0"/>
        <n v="66.0"/>
        <n v="97.0"/>
        <n v="277.0"/>
        <n v="211.0"/>
        <n v="13.0"/>
        <n v="302.0"/>
        <n v="325.0"/>
        <n v="217.0"/>
        <n v="362.0"/>
        <n v="966.0"/>
        <n v="639.0"/>
        <n v="942.0"/>
        <n v="789.0"/>
        <n v="820.0"/>
        <n v="186.0"/>
        <n v="904.0"/>
        <n v="472.0"/>
        <n v="971.0"/>
        <n v="238.0"/>
        <n v="794.0"/>
        <n v="130.0"/>
        <n v="200.0"/>
        <n v="123.0"/>
        <n v="273.0"/>
        <n v="884.0"/>
        <n v="915.0"/>
        <n v="210.0"/>
        <n v="886.0"/>
        <n v="447.0"/>
        <n v="226.0"/>
        <n v="156.0"/>
        <n v="92.0"/>
        <n v="352.0"/>
        <n v="413.0"/>
        <n v="439.0"/>
        <n v="60.0"/>
        <n v="533.0"/>
        <n v="286.0"/>
        <n v="548.0"/>
        <n v="275.0"/>
        <n v="691.0"/>
        <n v="239.0"/>
        <n v="687.0"/>
        <n v="305.0"/>
        <n v="853.0"/>
        <n v="90.0"/>
        <n v="893.0"/>
        <n v="845.0"/>
        <n v="12.0"/>
        <n v="213.0"/>
        <n v="105.0"/>
        <m/>
      </sharedItems>
    </cacheField>
    <cacheField name="Comments" numFmtId="4">
      <sharedItems containsString="0" containsBlank="1" containsNumber="1" containsInteger="1">
        <n v="400.0"/>
        <n v="156.0"/>
        <n v="153.0"/>
        <n v="149.0"/>
        <n v="298.0"/>
        <n v="434.0"/>
        <n v="301.0"/>
        <n v="488.0"/>
        <n v="37.0"/>
        <n v="420.0"/>
        <n v="270.0"/>
        <n v="490.0"/>
        <n v="340.0"/>
        <n v="276.0"/>
        <n v="355.0"/>
        <n v="350.0"/>
        <n v="172.0"/>
        <n v="345.0"/>
        <n v="69.0"/>
        <n v="485.0"/>
        <n v="131.0"/>
        <n v="117.0"/>
        <n v="253.0"/>
        <n v="430.0"/>
        <n v="351.0"/>
        <n v="367.0"/>
        <n v="377.0"/>
        <n v="376.0"/>
        <n v="241.0"/>
        <n v="99.0"/>
        <n v="238.0"/>
        <n v="8.0"/>
        <n v="363.0"/>
        <n v="482.0"/>
        <n v="403.0"/>
        <n v="240.0"/>
        <n v="306.0"/>
        <n v="70.0"/>
        <n v="7.0"/>
        <n v="404.0"/>
        <n v="342.0"/>
        <n v="164.0"/>
        <n v="392.0"/>
        <n v="443.0"/>
        <n v="335.0"/>
        <n v="416.0"/>
        <n v="260.0"/>
        <n v="207.0"/>
        <n v="357.0"/>
        <n v="239.0"/>
        <n v="295.0"/>
        <n v="316.0"/>
        <n v="360.0"/>
        <n v="395.0"/>
        <n v="327.0"/>
        <n v="54.0"/>
        <n v="274.0"/>
        <n v="134.0"/>
        <n v="174.0"/>
        <n v="500.0"/>
        <n v="177.0"/>
        <n v="176.0"/>
        <n v="47.0"/>
        <n v="225.0"/>
        <n v="71.0"/>
        <n v="442.0"/>
        <n v="486.0"/>
        <n v="127.0"/>
        <n v="230.0"/>
        <n v="310.0"/>
        <n v="128.0"/>
        <n v="286.0"/>
        <n v="279.0"/>
        <n v="85.0"/>
        <n v="19.0"/>
        <n v="136.0"/>
        <n v="183.0"/>
        <n v="315.0"/>
        <n v="412.0"/>
        <n v="287.0"/>
        <n v="478.0"/>
        <n v="324.0"/>
        <n v="432.0"/>
        <n v="393.0"/>
        <n v="275.0"/>
        <n v="26.0"/>
        <n v="205.0"/>
        <n v="318.0"/>
        <n v="140.0"/>
        <n v="323.0"/>
        <n v="441.0"/>
        <n v="15.0"/>
        <n v="111.0"/>
        <n v="444.0"/>
        <n v="75.0"/>
        <n v="288.0"/>
        <n v="55.0"/>
        <n v="428.0"/>
        <n v="123.0"/>
        <n v="170.0"/>
        <n v="63.0"/>
        <n v="266.0"/>
        <n v="138.0"/>
        <n v="394.0"/>
        <n v="246.0"/>
        <n v="101.0"/>
        <n v="289.0"/>
        <n v="211.0"/>
        <n v="42.0"/>
        <n v="72.0"/>
        <n v="387.0"/>
        <n v="497.0"/>
        <n v="423.0"/>
        <n v="130.0"/>
        <n v="168.0"/>
        <n v="325.0"/>
        <n v="22.0"/>
        <n v="56.0"/>
        <n v="157.0"/>
        <n v="41.0"/>
        <n v="171.0"/>
        <n v="329.0"/>
        <n v="219.0"/>
        <n v="135.0"/>
        <n v="33.0"/>
        <n v="499.0"/>
        <n v="300.0"/>
        <n v="349.0"/>
        <n v="320.0"/>
        <n v="103.0"/>
        <n v="383.0"/>
        <n v="160.0"/>
        <n v="129.0"/>
        <n v="373.0"/>
        <n v="78.0"/>
        <n v="38.0"/>
        <n v="179.0"/>
        <n v="379.0"/>
        <n v="93.0"/>
        <n v="162.0"/>
        <n v="280.0"/>
        <n v="496.0"/>
        <n v="450.0"/>
        <n v="321.0"/>
        <n v="212.0"/>
        <n v="257.0"/>
        <n v="152.0"/>
        <n v="413.0"/>
        <n v="243.0"/>
        <n v="35.0"/>
        <n v="281.0"/>
        <n v="409.0"/>
        <n v="216.0"/>
        <n v="415.0"/>
        <n v="202.0"/>
        <n v="401.0"/>
        <n v="64.0"/>
        <n v="291.0"/>
        <n v="405.0"/>
        <n v="366.0"/>
        <n v="352.0"/>
        <n v="369.0"/>
        <n v="169.0"/>
        <n v="458.0"/>
        <n v="268.0"/>
        <n v="347.0"/>
        <n v="344.0"/>
        <n v="375.0"/>
        <n v="484.0"/>
        <n v="244.0"/>
        <n v="402.0"/>
        <n v="228.0"/>
        <n v="322.0"/>
        <n v="150.0"/>
        <n v="45.0"/>
        <n v="297.0"/>
        <n v="18.0"/>
        <n v="493.0"/>
        <n v="362.0"/>
        <n v="82.0"/>
        <n v="31.0"/>
        <n v="44.0"/>
        <n v="118.0"/>
        <n v="197.0"/>
        <n v="20.0"/>
        <n v="57.0"/>
        <n v="32.0"/>
        <n v="13.0"/>
        <n v="80.0"/>
        <n v="398.0"/>
        <n v="43.0"/>
        <n v="433.0"/>
        <n v="470.0"/>
        <n v="333.0"/>
        <n v="142.0"/>
        <n v="229.0"/>
        <n v="472.0"/>
        <n v="21.0"/>
        <n v="36.0"/>
        <n v="77.0"/>
        <n v="90.0"/>
        <n v="200.0"/>
        <n v="206.0"/>
        <n v="278.0"/>
        <n v="332.0"/>
        <n v="46.0"/>
        <n v="203.0"/>
        <n v="424.0"/>
        <n v="290.0"/>
        <n v="358.0"/>
        <n v="141.0"/>
        <n v="215.0"/>
        <n v="385.0"/>
        <n v="231.0"/>
        <n v="285.0"/>
        <n v="143.0"/>
        <n v="86.0"/>
        <n v="104.0"/>
        <n v="386.0"/>
        <n v="380.0"/>
        <n v="39.0"/>
        <n v="452.0"/>
        <n v="341.0"/>
        <n v="10.0"/>
        <n v="163.0"/>
        <n v="204.0"/>
        <n v="49.0"/>
        <m/>
      </sharedItems>
    </cacheField>
    <cacheField name="Impressions" numFmtId="4">
      <sharedItems containsString="0" containsBlank="1" containsNumber="1" containsInteger="1">
        <n v="3582.0"/>
        <n v="4214.0"/>
        <n v="4430.0"/>
        <n v="3372.0"/>
        <n v="21180.0"/>
        <n v="6400.0"/>
        <n v="8580.0"/>
        <n v="12720.0"/>
        <n v="15040.0"/>
        <n v="8743.0"/>
        <n v="28824.0"/>
        <n v="14952.0"/>
        <n v="28602.0"/>
        <n v="28386.0"/>
        <n v="23560.0"/>
        <n v="24192.0"/>
        <n v="30247.0"/>
        <n v="17410.0"/>
        <n v="31171.0"/>
        <n v="16712.0"/>
        <n v="10417.0"/>
        <n v="18328.0"/>
        <n v="33936.0"/>
        <n v="23229.0"/>
        <n v="30624.0"/>
        <n v="5738.0"/>
        <n v="12570.0"/>
        <n v="29460.0"/>
        <n v="23352.0"/>
        <n v="35156.0"/>
        <n v="16884.0"/>
        <n v="28974.0"/>
        <n v="12320.0"/>
        <n v="41340.0"/>
        <n v="37670.0"/>
        <n v="35640.0"/>
        <n v="25396.0"/>
        <n v="43576.0"/>
        <n v="51579.0"/>
        <n v="50184.0"/>
        <n v="40579.0"/>
        <n v="53292.0"/>
        <n v="14712.0"/>
        <n v="56760.0"/>
        <n v="34979.0"/>
        <n v="48020.0"/>
        <n v="55796.0"/>
        <n v="45832.0"/>
        <n v="29936.0"/>
        <n v="43170.0"/>
        <n v="25120.0"/>
        <n v="68265.0"/>
        <n v="49440.0"/>
        <n v="25260.0"/>
        <n v="37400.0"/>
        <n v="51282.0"/>
        <n v="32120.0"/>
        <n v="24168.0"/>
        <n v="55232.0"/>
        <n v="64532.0"/>
        <n v="50565.0"/>
        <n v="43524.0"/>
        <n v="68634.0"/>
        <n v="44016.0"/>
        <n v="38112.0"/>
        <n v="52241.0"/>
        <n v="60480.0"/>
        <n v="60588.0"/>
        <n v="82824.0"/>
        <n v="67337.0"/>
        <n v="72097.0"/>
        <n v="69945.0"/>
        <n v="37296.0"/>
        <n v="29736.0"/>
        <n v="65588.0"/>
        <n v="75834.0"/>
        <n v="78394.0"/>
        <n v="84816.0"/>
        <n v="92120.0"/>
        <n v="70642.0"/>
        <n v="77760.0"/>
        <n v="86060.0"/>
        <n v="75960.0"/>
        <n v="588.0"/>
        <n v="1030.0"/>
        <n v="1290.0"/>
        <n v="1704.0"/>
        <n v="4168.0"/>
        <n v="4980.0"/>
        <n v="6895.0"/>
        <n v="9850.0"/>
        <n v="6984.0"/>
        <n v="11170.0"/>
        <n v="4680.0"/>
        <n v="3066.0"/>
        <n v="8586.0"/>
        <n v="13015.0"/>
        <n v="8705.0"/>
        <n v="21815.0"/>
        <n v="22505.0"/>
        <n v="22805.0"/>
        <n v="13044.0"/>
        <n v="12830.0"/>
        <n v="21450.0"/>
        <n v="21938.0"/>
        <n v="21606.0"/>
        <n v="24798.0"/>
        <n v="15660.0"/>
        <n v="25062.0"/>
        <n v="8208.0"/>
        <n v="6912.0"/>
        <n v="18529.0"/>
        <n v="11752.0"/>
        <n v="26048.0"/>
        <n v="19232.0"/>
        <n v="14112.0"/>
        <n v="39528.0"/>
        <n v="11882.0"/>
        <n v="21417.0"/>
        <n v="43191.0"/>
        <n v="43560.0"/>
        <n v="4482.0"/>
        <n v="19943.0"/>
        <n v="38753.0"/>
        <n v="21762.0"/>
        <n v="20691.0"/>
        <n v="33975.0"/>
        <n v="22032.0"/>
        <n v="25088.0"/>
        <n v="22906.0"/>
        <n v="4674.0"/>
        <n v="35590.0"/>
        <n v="19344.0"/>
        <n v="36000.0"/>
        <n v="16065.0"/>
        <n v="45738.0"/>
        <n v="57252.0"/>
        <n v="49753.0"/>
        <n v="19976.0"/>
        <n v="30520.0"/>
        <n v="43386.0"/>
        <n v="39884.0"/>
        <n v="60648.0"/>
        <n v="61607.0"/>
        <n v="69285.0"/>
        <n v="14500.0"/>
        <n v="59527.0"/>
        <n v="35819.0"/>
        <n v="72795.0"/>
        <n v="72120.0"/>
        <n v="54912.0"/>
        <n v="39957.0"/>
        <n v="72570.0"/>
        <n v="67770.0"/>
        <n v="69498.0"/>
        <n v="57276.0"/>
        <n v="71630.0"/>
        <n v="77026.0"/>
        <n v="55710.0"/>
        <n v="71687.0"/>
        <n v="37560.0"/>
        <n v="1494.0"/>
        <n v="954.0"/>
        <n v="590.0"/>
        <n v="6000.0"/>
        <n v="3024.0"/>
        <n v="7128.0"/>
        <n v="11262.0"/>
        <n v="10830.0"/>
        <n v="19020.0"/>
        <n v="12924.0"/>
        <n v="9336.0"/>
        <n v="9432.0"/>
        <n v="13668.0"/>
        <n v="6786.0"/>
        <n v="17613.0"/>
        <n v="17176.0"/>
        <n v="8864.0"/>
        <n v="15498.0"/>
        <n v="25543.0"/>
        <n v="21632.0"/>
        <n v="15616.0"/>
        <n v="4575.0"/>
        <n v="22673.0"/>
        <n v="15960.0"/>
        <n v="11836.0"/>
        <n v="34192.0"/>
        <n v="43974.0"/>
        <n v="34299.0"/>
        <n v="38000.0"/>
        <n v="32150.0"/>
        <n v="38010.0"/>
        <n v="21536.0"/>
        <n v="40000.0"/>
        <n v="27828.0"/>
        <n v="20878.0"/>
        <n v="51381.0"/>
        <n v="9707.0"/>
        <n v="44190.0"/>
        <n v="25200.0"/>
        <n v="49676.0"/>
        <n v="14115.0"/>
        <n v="28132.0"/>
        <n v="45840.0"/>
        <n v="19808.0"/>
        <n v="52650.0"/>
        <n v="53438.0"/>
        <n v="35370.0"/>
        <n v="50288.0"/>
        <n v="25840.0"/>
        <n v="19476.0"/>
        <n v="21915.0"/>
        <n v="14436.0"/>
        <n v="14886.0"/>
        <n v="53074.0"/>
        <n v="16722.0"/>
        <n v="27948.0"/>
        <n v="62916.0"/>
        <n v="44240.0"/>
        <n v="19080.0"/>
        <n v="15694.0"/>
        <n v="45200.0"/>
        <n v="53025.0"/>
        <n v="34040.0"/>
        <n v="64864.0"/>
        <n v="37050.0"/>
        <n v="75600.0"/>
        <n v="55965.0"/>
        <n v="61760.0"/>
        <n v="67963.0"/>
        <n v="86076.0"/>
        <n v="66992.0"/>
        <n v="42381.0"/>
        <n v="60084.0"/>
        <n v="59432.0"/>
        <n v="58480.0"/>
        <n v="63973.0"/>
        <n v="88768.0"/>
        <n v="90140.0"/>
        <n v="1040.0"/>
        <n v="3341.0"/>
        <n v="4020.0"/>
        <n v="5152.0"/>
        <n v="23305.0"/>
        <n v="20940.0"/>
        <n v="7878.0"/>
        <n v="12344.0"/>
        <n v="18390.0"/>
        <n v="20334.0"/>
        <n v="25928.0"/>
        <n v="18546.0"/>
        <n v="9846.0"/>
        <n v="39472.0"/>
        <n v="9648.0"/>
        <n v="32895.0"/>
        <n v="36189.0"/>
        <n v="16695.0"/>
        <n v="28242.0"/>
        <n v="34281.0"/>
        <n v="38740.0"/>
        <n v="30612.0"/>
        <n v="22830.0"/>
        <n v="47750.0"/>
        <n v="43219.0"/>
        <n v="55705.0"/>
        <n v="18324.0"/>
        <n v="40051.0"/>
        <n v="32952.0"/>
        <n v="24724.0"/>
        <n v="48243.0"/>
        <n v="42126.0"/>
        <n v="38168.0"/>
        <n v="5624.0"/>
        <n v="44235.0"/>
        <n v="35126.0"/>
        <n v="40920.0"/>
        <n v="60900.0"/>
        <n v="64125.0"/>
        <n v="22249.0"/>
        <n v="40785.0"/>
        <n v="75650.0"/>
        <n v="66736.0"/>
        <n v="33216.0"/>
        <n v="39330.0"/>
        <n v="86040.0"/>
        <n v="60384.0"/>
        <n v="71140.0"/>
        <n v="58276.0"/>
        <n v="93651.0"/>
        <n v="85900.0"/>
        <n v="56988.0"/>
        <n v="91808.0"/>
        <n v="98100.0"/>
        <n v="30180.0"/>
        <n v="40717.0"/>
        <n v="39260.0"/>
        <n v="53105.0"/>
        <m/>
      </sharedItems>
    </cacheField>
    <cacheField name="Reach" numFmtId="4">
      <sharedItems containsString="0" containsBlank="1" containsNumber="1" containsInteger="1">
        <n v="2988.0"/>
        <n v="3363.0"/>
        <n v="4037.0"/>
        <n v="2940.0"/>
        <n v="20516.0"/>
        <n v="5472.0"/>
        <n v="8081.0"/>
        <n v="12085.0"/>
        <n v="14639.0"/>
        <n v="8538.0"/>
        <n v="28370.0"/>
        <n v="14309.0"/>
        <n v="28044.0"/>
        <n v="28185.0"/>
        <n v="23275.0"/>
        <n v="23518.0"/>
        <n v="29254.0"/>
        <n v="16844.0"/>
        <n v="30565.0"/>
        <n v="16309.0"/>
        <n v="9730.0"/>
        <n v="18101.0"/>
        <n v="33802.0"/>
        <n v="22331.0"/>
        <n v="30229.0"/>
        <n v="4890.0"/>
        <n v="11660.0"/>
        <n v="28527.0"/>
        <n v="22982.0"/>
        <n v="34444.0"/>
        <n v="15954.0"/>
        <n v="28102.0"/>
        <n v="11978.0"/>
        <n v="41050.0"/>
        <n v="36807.0"/>
        <n v="34850.0"/>
        <n v="25286.0"/>
        <n v="43338.0"/>
        <n v="50924.0"/>
        <n v="49351.0"/>
        <n v="39588.0"/>
        <n v="53082.0"/>
        <n v="14049.0"/>
        <n v="56343.0"/>
        <n v="34154.0"/>
        <n v="47305.0"/>
        <n v="54826.0"/>
        <n v="45632.0"/>
        <n v="29576.0"/>
        <n v="42667.0"/>
        <n v="24613.0"/>
        <n v="67754.0"/>
        <n v="48524.0"/>
        <n v="24615.0"/>
        <n v="36938.0"/>
        <n v="50567.0"/>
        <n v="31736.0"/>
        <n v="23719.0"/>
        <n v="55075.0"/>
        <n v="63550.0"/>
        <n v="49816.0"/>
        <n v="42743.0"/>
        <n v="68488.0"/>
        <n v="43415.0"/>
        <n v="37437.0"/>
        <n v="51605.0"/>
        <n v="59610.0"/>
        <n v="59627.0"/>
        <n v="82543.0"/>
        <n v="66615.0"/>
        <n v="71598.0"/>
        <n v="69596.0"/>
        <n v="36467.0"/>
        <n v="28771.0"/>
        <n v="65049.0"/>
        <n v="75437.0"/>
        <n v="77798.0"/>
        <n v="84691.0"/>
        <n v="91440.0"/>
        <n v="69749.0"/>
        <n v="77167.0"/>
        <n v="85823.0"/>
        <n v="75813.0"/>
        <n v="8.0"/>
        <n v="410.0"/>
        <n v="839.0"/>
        <n v="995.0"/>
        <n v="3399.0"/>
        <n v="4185.0"/>
        <n v="6757.0"/>
        <n v="8924.0"/>
        <n v="6636.0"/>
        <n v="10569.0"/>
        <n v="4322.0"/>
        <n v="2701.0"/>
        <n v="8396.0"/>
        <n v="12130.0"/>
        <n v="8272.0"/>
        <n v="21481.0"/>
        <n v="21836.0"/>
        <n v="21890.0"/>
        <n v="12206.0"/>
        <n v="12264.0"/>
        <n v="20785.0"/>
        <n v="21337.0"/>
        <n v="21454.0"/>
        <n v="24620.0"/>
        <n v="15145.0"/>
        <n v="24847.0"/>
        <n v="7377.0"/>
        <n v="6259.0"/>
        <n v="17841.0"/>
        <n v="11580.0"/>
        <n v="25529.0"/>
        <n v="18636.0"/>
        <n v="13588.0"/>
        <n v="39154.0"/>
        <n v="11500.0"/>
        <n v="20967.0"/>
        <n v="42228.0"/>
        <n v="43225.0"/>
        <n v="3647.0"/>
        <n v="18959.0"/>
        <n v="38579.0"/>
        <n v="20998.0"/>
        <n v="19987.0"/>
        <n v="33310.0"/>
        <n v="21869.0"/>
        <n v="24675.0"/>
        <n v="21925.0"/>
        <n v="4390.0"/>
        <n v="35105.0"/>
        <n v="18395.0"/>
        <n v="35819.0"/>
        <n v="15865.0"/>
        <n v="45183.0"/>
        <n v="56378.0"/>
        <n v="49329.0"/>
        <n v="19262.0"/>
        <n v="30059.0"/>
        <n v="42921.0"/>
        <n v="39404.0"/>
        <n v="60397.0"/>
        <n v="61333.0"/>
        <n v="20509.0"/>
        <n v="69141.0"/>
        <n v="13637.0"/>
        <n v="59400.0"/>
        <n v="35340.0"/>
        <n v="72237.0"/>
        <n v="71696.0"/>
        <n v="53916.0"/>
        <n v="39466.0"/>
        <n v="72396.0"/>
        <n v="67621.0"/>
        <n v="68817.0"/>
        <n v="56890.0"/>
        <n v="71322.0"/>
        <n v="76881.0"/>
        <n v="54808.0"/>
        <n v="71447.0"/>
        <n v="36874.0"/>
        <n v="1044.0"/>
        <n v="7.0"/>
        <n v="475.0"/>
        <n v="5221.0"/>
        <n v="2285.0"/>
        <n v="6145.0"/>
        <n v="10967.0"/>
        <n v="10245.0"/>
        <n v="18559.0"/>
        <n v="12701.0"/>
        <n v="8875.0"/>
        <n v="8882.0"/>
        <n v="12676.0"/>
        <n v="12564.0"/>
        <n v="6221.0"/>
        <n v="16865.0"/>
        <n v="16483.0"/>
        <n v="8710.0"/>
        <n v="14800.0"/>
        <n v="24963.0"/>
        <n v="20792.0"/>
        <n v="15403.0"/>
        <n v="3704.0"/>
        <n v="22171.0"/>
        <n v="15379.0"/>
        <n v="11596.0"/>
        <n v="33446.0"/>
        <n v="43239.0"/>
        <n v="34088.0"/>
        <n v="37792.0"/>
        <n v="31404.0"/>
        <n v="37625.0"/>
        <n v="21120.0"/>
        <n v="39569.0"/>
        <n v="27217.0"/>
        <n v="20190.0"/>
        <n v="50565.0"/>
        <n v="9418.0"/>
        <n v="43582.0"/>
        <n v="24826.0"/>
        <n v="49257.0"/>
        <n v="13838.0"/>
        <n v="27361.0"/>
        <n v="45631.0"/>
        <n v="19334.0"/>
        <n v="51755.0"/>
        <n v="52687.0"/>
        <n v="34475.0"/>
        <n v="49490.0"/>
        <n v="24916.0"/>
        <n v="18654.0"/>
        <n v="21675.0"/>
        <n v="14280.0"/>
        <n v="14129.0"/>
        <n v="52613.0"/>
        <n v="15996.0"/>
        <n v="27184.0"/>
        <n v="62688.0"/>
        <n v="43666.0"/>
        <n v="18859.0"/>
        <n v="14957.0"/>
        <n v="44739.0"/>
        <n v="52791.0"/>
        <n v="33174.0"/>
        <n v="64383.0"/>
        <n v="36272.0"/>
        <n v="74927.0"/>
        <n v="55436.0"/>
        <n v="61660.0"/>
        <n v="67839.0"/>
        <n v="85339.0"/>
        <n v="66614.0"/>
        <n v="41991.0"/>
        <n v="59842.0"/>
        <n v="59182.0"/>
        <n v="58146.0"/>
        <n v="63789.0"/>
        <n v="87833.0"/>
        <n v="89591.0"/>
        <n v="349.0"/>
        <n v="2753.0"/>
        <n v="3144.0"/>
        <n v="4706.0"/>
        <n v="22583.0"/>
        <n v="20471.0"/>
        <n v="7389.0"/>
        <n v="11496.0"/>
        <n v="17875.0"/>
        <n v="19443.0"/>
        <n v="25081.0"/>
        <n v="18171.0"/>
        <n v="9609.0"/>
        <n v="39025.0"/>
        <n v="9417.0"/>
        <n v="32015.0"/>
        <n v="35505.0"/>
        <n v="21288.0"/>
        <n v="16330.0"/>
        <n v="27550.0"/>
        <n v="33534.0"/>
        <n v="38552.0"/>
        <n v="30360.0"/>
        <n v="22617.0"/>
        <n v="47544.0"/>
        <n v="42841.0"/>
        <n v="55556.0"/>
        <n v="18164.0"/>
        <n v="39319.0"/>
        <n v="32147.0"/>
        <n v="24333.0"/>
        <n v="47579.0"/>
        <n v="41309.0"/>
        <n v="37571.0"/>
        <n v="5239.0"/>
        <n v="43705.0"/>
        <n v="34685.0"/>
        <n v="40816.0"/>
        <n v="60592.0"/>
        <n v="63650.0"/>
        <n v="21282.0"/>
        <n v="40281.0"/>
        <n v="75008.0"/>
        <n v="66634.0"/>
        <n v="32244.0"/>
        <n v="38627.0"/>
        <n v="85743.0"/>
        <n v="59490.0"/>
        <n v="70701.0"/>
        <n v="58052.0"/>
        <n v="92810.0"/>
        <n v="85788.0"/>
        <n v="56125.0"/>
        <n v="91296.0"/>
        <n v="97772.0"/>
        <n v="29689.0"/>
        <n v="40125.0"/>
        <n v="38771.0"/>
        <n v="52307.0"/>
        <m/>
      </sharedItems>
    </cacheField>
    <cacheField name="Clicks" numFmtId="4">
      <sharedItems containsString="0" containsBlank="1" containsNumber="1" containsInteger="1">
        <n v="43.0"/>
        <n v="164.0"/>
        <n v="212.0"/>
        <n v="93.0"/>
        <n v="238.0"/>
        <n v="160.0"/>
        <n v="91.0"/>
        <n v="17.0"/>
        <n v="277.0"/>
        <n v="63.0"/>
        <n v="47.0"/>
        <n v="275.0"/>
        <n v="210.0"/>
        <n v="89.0"/>
        <n v="256.0"/>
        <n v="36.0"/>
        <n v="122.0"/>
        <n v="58.0"/>
        <n v="23.0"/>
        <n v="64.0"/>
        <n v="34.0"/>
        <n v="10.0"/>
        <n v="265.0"/>
        <n v="70.0"/>
        <n v="235.0"/>
        <n v="25.0"/>
        <n v="194.0"/>
        <n v="60.0"/>
        <n v="213.0"/>
        <n v="241.0"/>
        <n v="113.0"/>
        <n v="177.0"/>
        <n v="226.0"/>
        <n v="208.0"/>
        <n v="39.0"/>
        <n v="240.0"/>
        <n v="173.0"/>
        <n v="159.0"/>
        <n v="123.0"/>
        <n v="131.0"/>
        <n v="255.0"/>
        <n v="120.0"/>
        <n v="264.0"/>
        <n v="248.0"/>
        <n v="288.0"/>
        <n v="75.0"/>
        <n v="133.0"/>
        <n v="57.0"/>
        <n v="137.0"/>
        <n v="225.0"/>
        <n v="84.0"/>
        <n v="42.0"/>
        <n v="87.0"/>
        <n v="292.0"/>
        <n v="176.0"/>
        <n v="182.0"/>
        <n v="251.0"/>
        <n v="129.0"/>
        <n v="249.0"/>
        <n v="246.0"/>
        <n v="192.0"/>
        <n v="92.0"/>
        <n v="161.0"/>
        <n v="167.0"/>
        <n v="35.0"/>
        <n v="215.0"/>
        <n v="158.0"/>
        <n v="272.0"/>
        <n v="88.0"/>
        <n v="100.0"/>
        <n v="56.0"/>
        <n v="233.0"/>
        <n v="20.0"/>
        <n v="14.0"/>
        <n v="266.0"/>
        <n v="12.0"/>
        <n v="262.0"/>
        <n v="154.0"/>
        <n v="282.0"/>
        <n v="185.0"/>
        <n v="117.0"/>
        <n v="82.0"/>
        <n v="198.0"/>
        <n v="150.0"/>
        <n v="121.0"/>
        <n v="157.0"/>
        <n v="132.0"/>
        <n v="45.0"/>
        <n v="221.0"/>
        <n v="195.0"/>
        <n v="130.0"/>
        <n v="172.0"/>
        <n v="73.0"/>
        <n v="230.0"/>
        <n v="205.0"/>
        <n v="79.0"/>
        <n v="46.0"/>
        <n v="143.0"/>
        <n v="128.0"/>
        <n v="217.0"/>
        <n v="186.0"/>
        <n v="118.0"/>
        <n v="32.0"/>
        <n v="85.0"/>
        <n v="270.0"/>
        <n v="289.0"/>
        <n v="271.0"/>
        <n v="189.0"/>
        <n v="65.0"/>
        <n v="30.0"/>
        <n v="19.0"/>
        <n v="103.0"/>
        <n v="142.0"/>
        <n v="71.0"/>
        <n v="283.0"/>
        <n v="174.0"/>
        <n v="52.0"/>
        <n v="298.0"/>
        <n v="200.0"/>
        <n v="269.0"/>
        <n v="191.0"/>
        <n v="170.0"/>
        <n v="28.0"/>
        <n v="83.0"/>
        <n v="31.0"/>
        <n v="297.0"/>
        <n v="163.0"/>
        <n v="76.0"/>
        <n v="286.0"/>
        <n v="201.0"/>
        <n v="148.0"/>
        <n v="293.0"/>
        <n v="223.0"/>
        <n v="184.0"/>
        <n v="41.0"/>
        <n v="24.0"/>
        <n v="197.0"/>
        <n v="21.0"/>
        <n v="97.0"/>
        <n v="180.0"/>
        <n v="127.0"/>
        <n v="234.0"/>
        <n v="229.0"/>
        <n v="104.0"/>
        <n v="299.0"/>
        <n v="236.0"/>
        <n v="224.0"/>
        <n v="44.0"/>
        <n v="102.0"/>
        <n v="219.0"/>
        <n v="245.0"/>
        <n v="231.0"/>
        <n v="171.0"/>
        <n v="209.0"/>
        <n v="216.0"/>
        <n v="149.0"/>
        <n v="15.0"/>
        <n v="49.0"/>
        <n v="254.0"/>
        <n v="145.0"/>
        <n v="300.0"/>
        <n v="99.0"/>
        <n v="169.0"/>
        <n v="119.0"/>
        <n v="53.0"/>
        <n v="62.0"/>
        <n v="242.0"/>
        <n v="252.0"/>
        <n v="125.0"/>
        <n v="287.0"/>
        <n v="11.0"/>
        <n v="239.0"/>
        <n v="228.0"/>
        <n v="112.0"/>
        <n v="237.0"/>
        <n v="199.0"/>
        <n v="227.0"/>
        <n v="187.0"/>
        <n v="51.0"/>
        <n v="38.0"/>
        <n v="296.0"/>
        <n v="147.0"/>
        <n v="211.0"/>
        <n v="22.0"/>
        <n v="135.0"/>
        <n v="114.0"/>
        <n v="40.0"/>
        <n v="66.0"/>
        <n v="290.0"/>
        <n v="279.0"/>
        <n v="204.0"/>
        <m/>
      </sharedItems>
    </cacheField>
    <cacheField name="Hashtag_Clean_1" numFmtId="0">
      <sharedItems containsBlank="1">
        <s v="PepsiCoRefresh"/>
        <s v="ThirstyForMore"/>
        <s v="LiveForNow"/>
        <m/>
      </sharedItems>
    </cacheField>
    <cacheField name="hashtag_clean2" numFmtId="0">
      <sharedItems containsBlank="1">
        <s v=""/>
        <s v="SmoothLikeNitroPepsi"/>
        <s v="AnytimeIsPepsiTime"/>
        <s v="ThirstyForMore"/>
        <s v="PepsiCoRefresh"/>
        <s v="BetterWithPepsi"/>
        <m/>
      </sharedItems>
    </cacheField>
    <cacheField name="hashtag_clean3" numFmtId="0">
      <sharedItems containsBlank="1">
        <s v=""/>
        <s v="ThirstyForMore"/>
        <s v="BetterWithPepsi"/>
        <s v="AnytimeIsPepsiTime"/>
        <m/>
      </sharedItems>
    </cacheField>
    <cacheField name="Engagement_Rate" numFmtId="10">
      <sharedItems containsString="0" containsBlank="1" containsNumber="1">
        <n v="0.38274706867671693"/>
        <n v="0.32083531086853345"/>
        <n v="0.26297968397291194"/>
        <n v="0.25771055753262156"/>
        <n v="0.2476392823418319"/>
        <n v="0.2365625"/>
        <n v="0.23414918414918415"/>
        <n v="0.21745283018867925"/>
        <n v="0.2087101063829787"/>
        <n v="0.20416333066453163"/>
        <n v="0.19511518179295032"/>
        <n v="0.18806848582129482"/>
        <n v="0.1851968393818614"/>
        <n v="0.18248432325794406"/>
        <n v="0.17954159592529711"/>
        <n v="0.17770337301587302"/>
        <n v="0.1774390848679208"/>
        <n v="0.1675473865594486"/>
        <n v="0.1598922075005614"/>
        <n v="0.15761129727142173"/>
        <n v="0.1569549774407219"/>
        <n v="0.15571802706241816"/>
        <n v="0.14521452145214522"/>
        <n v="0.13840458048129492"/>
        <n v="0.13809430512016718"/>
        <n v="0.1357615894039735"/>
        <n v="0.1294351630867144"/>
        <n v="0.12936184657162253"/>
        <n v="0.12885405960945528"/>
        <n v="0.1283706906360223"/>
        <n v="0.12781331438047855"/>
        <n v="0.12428384068475185"/>
        <n v="0.12353896103896105"/>
        <n v="0.12232704402515723"/>
        <n v="0.1199628351473321"/>
        <n v="0.11879910213243547"/>
        <n v="0.11143487163332809"/>
        <n v="0.1095786671562328"/>
        <n v="0.10132030477519921"/>
        <n v="0.10086880280567512"/>
        <n v="0.09963281500283398"/>
        <n v="0.09423553253771673"/>
        <n v="0.09189777052746058"/>
        <n v="0.08801973220577872"/>
        <n v="0.08673775693987822"/>
        <n v="0.08663057059558517"/>
        <n v="0.084862714173059"/>
        <n v="0.0821914819340199"/>
        <n v="0.0821084981293426"/>
        <n v="0.08204771832290943"/>
        <n v="0.08029458598726115"/>
        <n v="0.08015820698747528"/>
        <n v="0.07991504854368932"/>
        <n v="0.07984956452889945"/>
        <n v="0.07868983957219251"/>
        <n v="0.07751257751257751"/>
        <n v="0.07686799501867995"/>
        <n v="0.0759682224428997"/>
        <n v="0.07584371378910776"/>
        <n v="0.07528048100167359"/>
        <n v="0.07522990210619994"/>
        <n v="0.07412002573292896"/>
        <n v="0.07317073170731707"/>
        <n v="0.0730189022173755"/>
        <n v="0.0729691435768262"/>
        <n v="0.07273980207117016"/>
        <n v="0.07250330687830688"/>
        <n v="0.07212649369512114"/>
        <n v="0.07211677774558099"/>
        <n v="0.07207033280365921"/>
        <n v="0.07198635172059864"/>
        <n v="0.07195653727929087"/>
        <n v="0.07172350922350923"/>
        <n v="0.07055421038471886"/>
        <n v="0.06931145941330731"/>
        <n v="0.06461481657304112"/>
        <n v="0.06426512233079062"/>
        <n v="0.06374976419543482"/>
        <n v="0.06260312635692575"/>
        <n v="0.06246991874522239"/>
        <n v="0.05941358024691358"/>
        <n v="0.058563792702765516"/>
        <n v="0.0540810953133228"/>
        <n v="1.8129251700680271"/>
        <n v="0.8660194174757282"/>
        <n v="0.703875968992248"/>
        <n v="0.6508215962441315"/>
        <n v="0.3795585412667946"/>
        <n v="0.32349397590361445"/>
        <n v="0.31965192168237855"/>
        <n v="0.3170558375634518"/>
        <n v="0.30126002290950743"/>
        <n v="0.2971351835273053"/>
        <n v="0.28696581196581195"/>
        <n v="0.28245270711024134"/>
        <n v="0.28045655718611695"/>
        <n v="0.26876680752977333"/>
        <n v="0.2553704767375072"/>
        <n v="0.2361677744671098"/>
        <n v="0.23101532992668297"/>
        <n v="0.22157421618066214"/>
        <n v="0.21826126954921804"/>
        <n v="0.21208106001558846"/>
        <n v="0.20675990675990677"/>
        <n v="0.20357370772176134"/>
        <n v="0.2023049153013052"/>
        <n v="0.19864505202032423"/>
        <n v="0.19310344827586207"/>
        <n v="0.19156491900087783"/>
        <n v="0.18433235867446393"/>
        <n v="0.17057291666666666"/>
        <n v="0.16843866371633656"/>
        <n v="0.1650782845473111"/>
        <n v="0.15283323095823095"/>
        <n v="0.15105033277870217"/>
        <n v="0.1441326530612245"/>
        <n v="0.14220299534507186"/>
        <n v="0.1366773270493183"/>
        <n v="0.13493953401503478"/>
        <n v="0.13387048227640017"/>
        <n v="0.13106060606060607"/>
        <n v="0.12896028558679162"/>
        <n v="0.12575841147269717"/>
        <n v="0.12277759141227776"/>
        <n v="0.12131237937689551"/>
        <n v="0.11990720603160794"/>
        <n v="0.11861662987490802"/>
        <n v="0.11619462599854757"/>
        <n v="0.11571269132653061"/>
        <n v="0.11307081114118571"/>
        <n v="0.1123234916559692"/>
        <n v="0.10977802753582468"/>
        <n v="0.1071650124069479"/>
        <n v="0.10297222222222223"/>
        <n v="0.10034235916588857"/>
        <n v="0.0998294634658271"/>
        <n v="0.09859917557465242"/>
        <n v="0.09529073623701083"/>
        <n v="0.09441329595514618"/>
        <n v="0.09272608125819135"/>
        <n v="0.09136587839395197"/>
        <n v="0.08860696018453515"/>
        <n v="0.08775227542540562"/>
        <n v="0.08766860908662977"/>
        <n v="0.08573426573426574"/>
        <n v="0.08571840946813884"/>
        <n v="0.08558620689655172"/>
        <n v="0.08406269423958876"/>
        <n v="0.083921940869371"/>
        <n v="0.08283535957139913"/>
        <n v="0.08180809761508596"/>
        <n v="0.08056526806526806"/>
        <n v="0.07753334834947569"/>
        <n v="0.07724955215653852"/>
        <n v="0.07652353548767891"/>
        <n v="0.07082218193329304"/>
        <n v="0.06810880648089951"/>
        <n v="0.06723439899483456"/>
        <n v="0.06380962272479422"/>
        <n v="0.057655717106444085"/>
        <n v="0.05733257075899396"/>
        <n v="0.05641640042598509"/>
        <n v="0.7168674698795181"/>
        <n v="0.5377358490566038"/>
        <n v="0.5338983050847458"/>
        <n v="0.3566666666666667"/>
        <n v="0.2919973544973545"/>
        <n v="0.2570145903479237"/>
        <n v="0.25279701651571657"/>
        <n v="0.24349030470914126"/>
        <n v="0.2316508937960042"/>
        <n v="0.20868152274837512"/>
        <n v="0.2015852613538989"/>
        <n v="0.1984732824427481"/>
        <n v="0.1908838162130524"/>
        <n v="0.18632075471698112"/>
        <n v="0.17801355732390214"/>
        <n v="0.17441662408448305"/>
        <n v="0.17291569632044715"/>
        <n v="0.16888537906137185"/>
        <n v="0.1687314492192541"/>
        <n v="0.16744313510550835"/>
        <n v="0.16683616863905326"/>
        <n v="0.16540727459016394"/>
        <n v="0.16065573770491803"/>
        <n v="0.15405989502933004"/>
        <n v="0.14348370927318296"/>
        <n v="0.14320716458262928"/>
        <n v="0.1431621431913898"/>
        <n v="0.14276618001546368"/>
        <n v="0.14265722032712325"/>
        <n v="0.13989473684210527"/>
        <n v="0.13614307931570763"/>
        <n v="0.13599052880820836"/>
        <n v="0.13331166419019316"/>
        <n v="0.129425"/>
        <n v="0.1253773178094006"/>
        <n v="0.11792317271769326"/>
        <n v="0.11508145034156594"/>
        <n v="0.11465952405480581"/>
        <n v="0.11369088028965829"/>
        <n v="0.11238095238095239"/>
        <n v="0.11114018842096787"/>
        <n v="0.10768685795253277"/>
        <n v="0.10617801791554102"/>
        <n v="0.1043848167539267"/>
        <n v="0.10339256865912763"/>
        <n v="0.10005698005698006"/>
        <n v="0.09925521164714249"/>
        <n v="0.09855810008481765"/>
        <n v="0.09700127266942411"/>
        <n v="0.09342105263157895"/>
        <n v="0.09113781063873486"/>
        <n v="0.09075975359342915"/>
        <n v="0.09060681629260182"/>
        <n v="0.08773344081687491"/>
        <n v="0.0868975392847722"/>
        <n v="0.0862935055615357"/>
        <n v="0.0837269214255045"/>
        <n v="0.08353995803929049"/>
        <n v="0.08275316455696202"/>
        <n v="0.0820754716981132"/>
        <n v="0.08117752007136485"/>
        <n v="0.08086283185840708"/>
        <n v="0.07884959924563885"/>
        <n v="0.07729142185663924"/>
        <n v="0.07609768130241737"/>
        <n v="0.07349527665317139"/>
        <n v="0.07257936507936508"/>
        <n v="0.07113374430447601"/>
        <n v="0.0702720207253886"/>
        <n v="0.06865500345776378"/>
        <n v="0.06488452065616432"/>
        <n v="0.0639479340816814"/>
        <n v="0.062150491965739366"/>
        <n v="0.062129685107516146"/>
        <n v="0.059496567505720827"/>
        <n v="0.05938782489740082"/>
        <n v="0.05824332140121614"/>
        <n v="0.05665329848594088"/>
        <n v="0.0525515864211227"/>
        <n v="0.5019230769230769"/>
        <n v="0.48518407662376534"/>
        <n v="0.36965174129353234"/>
        <n v="0.3361801242236025"/>
        <n v="0.2586998498176357"/>
        <n v="0.25062082139446035"/>
        <n v="0.23673521198273673"/>
        <n v="0.21840570317563188"/>
        <n v="0.21636759108210984"/>
        <n v="0.1948460706206354"/>
        <n v="0.16769515581610614"/>
        <n v="0.1651029871670441"/>
        <n v="0.1611822059719683"/>
        <n v="0.15355188488042157"/>
        <n v="0.15339966832504145"/>
        <n v="0.13707250341997265"/>
        <n v="0.13517919809886983"/>
        <n v="0.13498547567175018"/>
        <n v="0.13351302785265048"/>
        <n v="0.12577012959422137"/>
        <n v="0.12490884163239112"/>
        <n v="0.123309241094476"/>
        <n v="0.1199202926956749"/>
        <n v="0.11489268506351293"/>
        <n v="0.10793717277486911"/>
        <n v="0.10340359564080613"/>
        <n v="0.09957813481734135"/>
        <n v="0.09806810740013097"/>
        <n v="0.09770043194926468"/>
        <n v="0.09422796795338674"/>
        <n v="0.09229898074745187"/>
        <n v="0.09023070704558174"/>
        <n v="0.0897308075772682"/>
        <n v="0.08957765667574932"/>
        <n v="0.08837126600284495"/>
        <n v="0.08653780942692438"/>
        <n v="0.08552069691966065"/>
        <n v="0.08494623655913978"/>
        <n v="0.08420361247947455"/>
        <n v="0.08327485380116958"/>
        <n v="0.0758685783630725"/>
        <n v="0.07407134976094153"/>
        <n v="0.07370786516853933"/>
        <n v="0.07200011987532966"/>
        <n v="0.0715016859344894"/>
        <n v="0.06943808797355708"/>
        <n v="0.06800325430032543"/>
        <n v="0.06710386857445681"/>
        <n v="0.06561709305594603"/>
        <n v="0.06551582126432837"/>
        <n v="0.06545578797877225"/>
        <n v="0.06371362048894062"/>
        <n v="0.06311855127395241"/>
        <n v="0.06246732310909724"/>
        <n v="0.059928644240570844"/>
        <n v="0.0583167660702452"/>
        <n v="0.05793648844463001"/>
        <n v="0.05590932246561386"/>
        <n v="0.05553149420958479"/>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1039" sheet="Hashtag_Long"/>
  </cacheSource>
  <cacheFields>
    <cacheField name="Post ID" numFmtId="0">
      <sharedItems containsBlank="1">
        <s v="P220"/>
        <s v="P058"/>
        <s v="P232"/>
        <s v="P178"/>
        <s v="P175"/>
        <s v="P062"/>
        <s v="P264"/>
        <s v="P143"/>
        <s v="P210"/>
        <s v="P070"/>
        <s v="P214"/>
        <s v="P053"/>
        <s v="P102"/>
        <s v="P124"/>
        <s v="P121"/>
        <s v="P224"/>
        <s v="P154"/>
        <s v="P119"/>
        <s v="P287"/>
        <s v="P204"/>
        <s v="P066"/>
        <s v="P183"/>
        <s v="P031"/>
        <s v="P093"/>
        <s v="P263"/>
        <s v="P248"/>
        <s v="P244"/>
        <s v="P259"/>
        <s v="P219"/>
        <s v="P226"/>
        <s v="P265"/>
        <s v="P239"/>
        <s v="P277"/>
        <s v="P297"/>
        <s v="P181"/>
        <s v="P246"/>
        <s v="P123"/>
        <s v="P120"/>
        <s v="P141"/>
        <s v="P163"/>
        <s v="P269"/>
        <s v="P042"/>
        <s v="P043"/>
        <s v="P159"/>
        <s v="P146"/>
        <s v="P029"/>
        <s v="P137"/>
        <s v="P087"/>
        <s v="P271"/>
        <s v="P077"/>
        <s v="P136"/>
        <s v="P258"/>
        <s v="P276"/>
        <s v="P148"/>
        <s v="P198"/>
        <s v="P152"/>
        <s v="P286"/>
        <s v="P068"/>
        <s v="P085"/>
        <s v="P032"/>
        <s v="P218"/>
        <s v="P211"/>
        <s v="P242"/>
        <s v="P041"/>
        <s v="P294"/>
        <s v="P006"/>
        <s v="P153"/>
        <s v="P037"/>
        <s v="P241"/>
        <s v="P112"/>
        <s v="P129"/>
        <s v="P028"/>
        <s v="P046"/>
        <s v="P089"/>
        <s v="P094"/>
        <s v="P116"/>
        <s v="P275"/>
        <s v="P109"/>
        <s v="P047"/>
        <s v="P295"/>
        <s v="P054"/>
        <s v="P060"/>
        <s v="P083"/>
        <s v="P138"/>
        <s v="P221"/>
        <s v="P252"/>
        <s v="P052"/>
        <s v="P140"/>
        <s v="P165"/>
        <s v="P164"/>
        <s v="P262"/>
        <s v="P147"/>
        <s v="P004"/>
        <s v="P014"/>
        <s v="P192"/>
        <s v="P173"/>
        <s v="P166"/>
        <s v="P207"/>
        <s v="P061"/>
        <s v="P125"/>
        <s v="P272"/>
        <s v="P040"/>
        <s v="P299"/>
        <s v="P174"/>
        <s v="P104"/>
        <s v="P195"/>
        <s v="P184"/>
        <s v="P092"/>
        <s v="P088"/>
        <s v="P285"/>
        <s v="P050"/>
        <s v="P132"/>
        <s v="P229"/>
        <s v="P074"/>
        <s v="P254"/>
        <s v="P131"/>
        <s v="P236"/>
        <s v="P114"/>
        <s v="P056"/>
        <s v="P105"/>
        <s v="P012"/>
        <s v="P235"/>
        <s v="P033"/>
        <s v="P038"/>
        <s v="P196"/>
        <s v="P128"/>
        <s v="P169"/>
        <s v="P293"/>
        <s v="P292"/>
        <s v="P212"/>
        <s v="P110"/>
        <s v="P245"/>
        <s v="P075"/>
        <s v="P255"/>
        <s v="P071"/>
        <s v="P065"/>
        <s v="P247"/>
        <s v="P035"/>
        <s v="P117"/>
        <s v="P251"/>
        <s v="P011"/>
        <s v="P161"/>
        <s v="P155"/>
        <s v="P284"/>
        <s v="P113"/>
        <s v="P158"/>
        <s v="P098"/>
        <s v="P227"/>
        <s v="P222"/>
        <s v="P278"/>
        <s v="P151"/>
        <s v="P156"/>
        <s v="P157"/>
        <s v="P206"/>
        <s v="P282"/>
        <s v="P049"/>
        <s v="P205"/>
        <s v="P008"/>
        <s v="P096"/>
        <s v="P018"/>
        <s v="P182"/>
        <s v="P266"/>
        <s v="P019"/>
        <s v="P108"/>
        <s v="P126"/>
        <s v="P103"/>
        <s v="P191"/>
        <s v="P193"/>
        <s v="P167"/>
        <s v="P044"/>
        <s v="P171"/>
        <s v="P273"/>
        <s v="P243"/>
        <s v="P185"/>
        <s v="P081"/>
        <s v="P017"/>
        <s v="P139"/>
        <s v="P069"/>
        <s v="P059"/>
        <s v="P100"/>
        <s v="P055"/>
        <s v="P177"/>
        <s v="P160"/>
        <s v="P001"/>
        <s v="P201"/>
        <s v="P180"/>
        <s v="P026"/>
        <s v="P130"/>
        <s v="P079"/>
        <s v="P072"/>
        <s v="P009"/>
        <s v="P260"/>
        <s v="P249"/>
        <s v="P097"/>
        <s v="P253"/>
        <s v="P084"/>
        <s v="P162"/>
        <s v="P208"/>
        <s v="P240"/>
        <s v="P231"/>
        <s v="P106"/>
        <s v="P082"/>
        <s v="P199"/>
        <s v="P188"/>
        <s v="P186"/>
        <s v="P194"/>
        <s v="P268"/>
        <s v="P290"/>
        <s v="P187"/>
        <s v="P300"/>
        <s v="P280"/>
        <s v="P261"/>
        <s v="P209"/>
        <s v="P213"/>
        <s v="P202"/>
        <s v="P078"/>
        <s v="P064"/>
        <s v="P228"/>
        <s v="P076"/>
        <s v="P057"/>
        <s v="P122"/>
        <s v="P022"/>
        <s v="P118"/>
        <s v="P257"/>
        <s v="P091"/>
        <s v="P274"/>
        <s v="P051"/>
        <s v="P080"/>
        <s v="P230"/>
        <s v="P149"/>
        <s v="P021"/>
        <s v="P023"/>
        <s v="P036"/>
        <s v="P002"/>
        <s v="P234"/>
        <s v="P013"/>
        <s v="P016"/>
        <s v="P179"/>
        <s v="P045"/>
        <s v="P168"/>
        <s v="P111"/>
        <s v="P101"/>
        <s v="P048"/>
        <s v="P250"/>
        <s v="P289"/>
        <s v="P233"/>
        <s v="P172"/>
        <s v="P238"/>
        <s v="P189"/>
        <s v="P039"/>
        <s v="P215"/>
        <s v="P024"/>
        <s v="P099"/>
        <s v="P010"/>
        <s v="P291"/>
        <s v="P133"/>
        <s v="P027"/>
        <s v="P134"/>
        <s v="P090"/>
        <s v="P034"/>
        <s v="P007"/>
        <s v="P142"/>
        <s v="P127"/>
        <s v="P170"/>
        <s v="P095"/>
        <s v="P288"/>
        <s v="P237"/>
        <s v="P270"/>
        <s v="P005"/>
        <s v="P086"/>
        <s v="P144"/>
        <s v="P197"/>
        <s v="P135"/>
        <s v="P073"/>
        <s v="P267"/>
        <s v="P020"/>
        <s v="P067"/>
        <s v="P150"/>
        <s v="P281"/>
        <s v="P217"/>
        <s v="P200"/>
        <s v="P107"/>
        <s v="P115"/>
        <s v="P223"/>
        <s v="P279"/>
        <s v="P025"/>
        <s v="P015"/>
        <s v="P296"/>
        <s v="P298"/>
        <s v="P216"/>
        <s v="P283"/>
        <s v="P256"/>
        <s v="P030"/>
        <s v="P203"/>
        <s v="P225"/>
        <s v="P145"/>
        <s v="P190"/>
        <s v="P003"/>
        <s v="P176"/>
        <s v="P063"/>
        <m/>
      </sharedItems>
    </cacheField>
    <cacheField name="Clicks" numFmtId="4">
      <sharedItems containsString="0" containsBlank="1" containsNumber="1" containsInteger="1">
        <n v="12.0"/>
        <n v="262.0"/>
        <n v="201.0"/>
        <n v="238.0"/>
        <n v="154.0"/>
        <n v="148.0"/>
        <n v="293.0"/>
        <n v="117.0"/>
        <n v="287.0"/>
        <n v="43.0"/>
        <n v="282.0"/>
        <n v="11.0"/>
        <n v="223.0"/>
        <n v="19.0"/>
        <n v="185.0"/>
        <n v="164.0"/>
        <n v="64.0"/>
        <n v="82.0"/>
        <n v="198.0"/>
        <n v="184.0"/>
        <n v="208.0"/>
        <n v="150.0"/>
        <n v="20.0"/>
        <n v="212.0"/>
        <n v="63.0"/>
        <n v="93.0"/>
        <n v="270.0"/>
        <n v="121.0"/>
        <n v="41.0"/>
        <n v="102.0"/>
        <n v="24.0"/>
        <n v="239.0"/>
        <n v="160.0"/>
        <n v="157.0"/>
        <n v="91.0"/>
        <n v="240.0"/>
        <n v="132.0"/>
        <n v="45.0"/>
        <n v="241.0"/>
        <n v="137.0"/>
        <n v="17.0"/>
        <n v="200.0"/>
        <n v="221.0"/>
        <n v="277.0"/>
        <n v="197.0"/>
        <n v="195.0"/>
        <n v="130.0"/>
        <n v="172.0"/>
        <n v="176.0"/>
        <n v="158.0"/>
        <n v="47.0"/>
        <n v="228.0"/>
        <n v="73.0"/>
        <n v="230.0"/>
        <n v="275.0"/>
        <n v="21.0"/>
        <n v="210.0"/>
        <n v="205.0"/>
        <n v="89.0"/>
        <n v="256.0"/>
        <n v="36.0"/>
        <n v="122.0"/>
        <n v="297.0"/>
        <n v="170.0"/>
        <n v="79.0"/>
        <n v="97.0"/>
        <n v="180.0"/>
        <n v="46.0"/>
        <n v="131.0"/>
        <n v="58.0"/>
        <n v="167.0"/>
        <n v="127.0"/>
        <n v="235.0"/>
        <n v="52.0"/>
        <n v="84.0"/>
        <n v="112.0"/>
        <n v="234.0"/>
        <n v="23.0"/>
        <n v="34.0"/>
        <n v="10.0"/>
        <n v="169.0"/>
        <n v="237.0"/>
        <n v="143.0"/>
        <n v="128.0"/>
        <n v="265.0"/>
        <n v="272.0"/>
        <n v="229.0"/>
        <n v="104.0"/>
        <n v="129.0"/>
        <n v="65.0"/>
        <n v="233.0"/>
        <n v="217.0"/>
        <n v="299.0"/>
        <n v="70.0"/>
        <n v="199.0"/>
        <n v="251.0"/>
        <n v="236.0"/>
        <n v="25.0"/>
        <n v="174.0"/>
        <n v="186.0"/>
        <n v="118.0"/>
        <n v="123.0"/>
        <n v="224.0"/>
        <n v="57.0"/>
        <n v="194.0"/>
        <n v="44.0"/>
        <n v="60.0"/>
        <n v="32.0"/>
        <n v="213.0"/>
        <n v="113.0"/>
        <n v="87.0"/>
        <n v="85.0"/>
        <n v="83.0"/>
        <n v="219.0"/>
        <n v="177.0"/>
        <n v="255.0"/>
        <n v="226.0"/>
        <n v="227.0"/>
        <n v="289.0"/>
        <n v="271.0"/>
        <n v="189.0"/>
        <n v="245.0"/>
        <n v="231.0"/>
        <n v="39.0"/>
        <n v="187.0"/>
        <n v="30.0"/>
        <n v="171.0"/>
        <n v="173.0"/>
        <n v="103.0"/>
        <n v="209.0"/>
        <n v="142.0"/>
        <n v="51.0"/>
        <n v="216.0"/>
        <n v="38.0"/>
        <n v="296.0"/>
        <n v="71.0"/>
        <n v="283.0"/>
        <n v="159.0"/>
        <n v="147.0"/>
        <n v="149.0"/>
        <n v="15.0"/>
        <n v="49.0"/>
        <n v="211.0"/>
        <n v="22.0"/>
        <n v="266.0"/>
        <n v="88.0"/>
        <n v="254.0"/>
        <n v="120.0"/>
        <n v="135.0"/>
        <n v="145.0"/>
        <n v="298.0"/>
        <n v="264.0"/>
        <n v="269.0"/>
        <n v="191.0"/>
        <n v="300.0"/>
        <n v="248.0"/>
        <n v="288.0"/>
        <n v="75.0"/>
        <n v="99.0"/>
        <n v="133.0"/>
        <n v="225.0"/>
        <n v="28.0"/>
        <n v="76.0"/>
        <n v="31.0"/>
        <n v="42.0"/>
        <n v="114.0"/>
        <n v="292.0"/>
        <n v="182.0"/>
        <n v="40.0"/>
        <n v="119.0"/>
        <n v="249.0"/>
        <n v="246.0"/>
        <n v="192.0"/>
        <n v="92.0"/>
        <n v="161.0"/>
        <n v="35.0"/>
        <n v="215.0"/>
        <n v="53.0"/>
        <n v="163.0"/>
        <n v="242.0"/>
        <n v="66.0"/>
        <n v="62.0"/>
        <n v="100.0"/>
        <n v="290.0"/>
        <n v="56.0"/>
        <n v="252.0"/>
        <n v="279.0"/>
        <n v="14.0"/>
        <n v="286.0"/>
        <n v="204.0"/>
        <n v="125.0"/>
        <m/>
      </sharedItems>
    </cacheField>
    <cacheField name="Hashtag" numFmtId="0">
      <sharedItems containsBlank="1">
        <s v="ThirstyForMore"/>
        <s v="PepsiCoRefresh"/>
        <s v="LiveForNow"/>
        <s v="BetterWithPepsi"/>
        <s v="AnytimeIsPepsiTime"/>
        <s v="SmoothLikeNitroPepsi"/>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1039" sheet="Hashtag_Long"/>
  </cacheSource>
  <cacheFields>
    <cacheField name="Post ID" numFmtId="0">
      <sharedItems containsBlank="1">
        <s v="P220"/>
        <s v="P058"/>
        <s v="P232"/>
        <s v="P178"/>
        <s v="P175"/>
        <s v="P062"/>
        <s v="P264"/>
        <s v="P143"/>
        <s v="P210"/>
        <s v="P070"/>
        <s v="P214"/>
        <s v="P053"/>
        <s v="P102"/>
        <s v="P124"/>
        <s v="P121"/>
        <s v="P224"/>
        <s v="P154"/>
        <s v="P119"/>
        <s v="P287"/>
        <s v="P204"/>
        <s v="P066"/>
        <s v="P183"/>
        <s v="P031"/>
        <s v="P093"/>
        <s v="P263"/>
        <s v="P248"/>
        <s v="P244"/>
        <s v="P259"/>
        <s v="P219"/>
        <s v="P226"/>
        <s v="P265"/>
        <s v="P239"/>
        <s v="P277"/>
        <s v="P297"/>
        <s v="P181"/>
        <s v="P246"/>
        <s v="P123"/>
        <s v="P120"/>
        <s v="P141"/>
        <s v="P163"/>
        <s v="P269"/>
        <s v="P042"/>
        <s v="P043"/>
        <s v="P159"/>
        <s v="P146"/>
        <s v="P029"/>
        <s v="P137"/>
        <s v="P087"/>
        <s v="P271"/>
        <s v="P077"/>
        <s v="P136"/>
        <s v="P258"/>
        <s v="P276"/>
        <s v="P148"/>
        <s v="P198"/>
        <s v="P152"/>
        <s v="P286"/>
        <s v="P068"/>
        <s v="P085"/>
        <s v="P032"/>
        <s v="P218"/>
        <s v="P211"/>
        <s v="P242"/>
        <s v="P041"/>
        <s v="P294"/>
        <s v="P006"/>
        <s v="P153"/>
        <s v="P037"/>
        <s v="P241"/>
        <s v="P112"/>
        <s v="P129"/>
        <s v="P028"/>
        <s v="P046"/>
        <s v="P089"/>
        <s v="P094"/>
        <s v="P116"/>
        <s v="P275"/>
        <s v="P109"/>
        <s v="P047"/>
        <s v="P295"/>
        <s v="P054"/>
        <s v="P060"/>
        <s v="P083"/>
        <s v="P138"/>
        <s v="P221"/>
        <s v="P252"/>
        <s v="P052"/>
        <s v="P140"/>
        <s v="P165"/>
        <s v="P164"/>
        <s v="P262"/>
        <s v="P147"/>
        <s v="P004"/>
        <s v="P014"/>
        <s v="P192"/>
        <s v="P173"/>
        <s v="P166"/>
        <s v="P207"/>
        <s v="P061"/>
        <s v="P125"/>
        <s v="P272"/>
        <s v="P040"/>
        <s v="P299"/>
        <s v="P174"/>
        <s v="P104"/>
        <s v="P195"/>
        <s v="P184"/>
        <s v="P092"/>
        <s v="P088"/>
        <s v="P285"/>
        <s v="P050"/>
        <s v="P132"/>
        <s v="P229"/>
        <s v="P074"/>
        <s v="P254"/>
        <s v="P131"/>
        <s v="P236"/>
        <s v="P114"/>
        <s v="P056"/>
        <s v="P105"/>
        <s v="P012"/>
        <s v="P235"/>
        <s v="P033"/>
        <s v="P038"/>
        <s v="P196"/>
        <s v="P128"/>
        <s v="P169"/>
        <s v="P293"/>
        <s v="P292"/>
        <s v="P212"/>
        <s v="P110"/>
        <s v="P245"/>
        <s v="P075"/>
        <s v="P255"/>
        <s v="P071"/>
        <s v="P065"/>
        <s v="P247"/>
        <s v="P035"/>
        <s v="P117"/>
        <s v="P251"/>
        <s v="P011"/>
        <s v="P161"/>
        <s v="P155"/>
        <s v="P284"/>
        <s v="P113"/>
        <s v="P158"/>
        <s v="P098"/>
        <s v="P227"/>
        <s v="P222"/>
        <s v="P278"/>
        <s v="P151"/>
        <s v="P156"/>
        <s v="P157"/>
        <s v="P206"/>
        <s v="P282"/>
        <s v="P049"/>
        <s v="P205"/>
        <s v="P008"/>
        <s v="P096"/>
        <s v="P018"/>
        <s v="P182"/>
        <s v="P266"/>
        <s v="P019"/>
        <s v="P108"/>
        <s v="P126"/>
        <s v="P103"/>
        <s v="P191"/>
        <s v="P193"/>
        <s v="P167"/>
        <s v="P044"/>
        <s v="P171"/>
        <s v="P273"/>
        <s v="P243"/>
        <s v="P185"/>
        <s v="P081"/>
        <s v="P017"/>
        <s v="P139"/>
        <s v="P069"/>
        <s v="P059"/>
        <s v="P100"/>
        <s v="P055"/>
        <s v="P177"/>
        <s v="P160"/>
        <s v="P001"/>
        <s v="P201"/>
        <s v="P180"/>
        <s v="P026"/>
        <s v="P130"/>
        <s v="P079"/>
        <s v="P072"/>
        <s v="P009"/>
        <s v="P260"/>
        <s v="P249"/>
        <s v="P097"/>
        <s v="P253"/>
        <s v="P084"/>
        <s v="P162"/>
        <s v="P208"/>
        <s v="P240"/>
        <s v="P231"/>
        <s v="P106"/>
        <s v="P082"/>
        <s v="P199"/>
        <s v="P188"/>
        <s v="P186"/>
        <s v="P194"/>
        <s v="P268"/>
        <s v="P290"/>
        <s v="P187"/>
        <s v="P300"/>
        <s v="P280"/>
        <s v="P261"/>
        <s v="P209"/>
        <s v="P213"/>
        <s v="P202"/>
        <s v="P078"/>
        <s v="P064"/>
        <s v="P228"/>
        <s v="P076"/>
        <s v="P057"/>
        <s v="P122"/>
        <s v="P022"/>
        <s v="P118"/>
        <s v="P257"/>
        <s v="P091"/>
        <s v="P274"/>
        <s v="P051"/>
        <s v="P080"/>
        <s v="P230"/>
        <s v="P149"/>
        <s v="P021"/>
        <s v="P023"/>
        <s v="P036"/>
        <s v="P002"/>
        <s v="P234"/>
        <s v="P013"/>
        <s v="P016"/>
        <s v="P179"/>
        <s v="P045"/>
        <s v="P168"/>
        <s v="P111"/>
        <s v="P101"/>
        <s v="P048"/>
        <s v="P250"/>
        <s v="P289"/>
        <s v="P233"/>
        <s v="P172"/>
        <s v="P238"/>
        <s v="P189"/>
        <s v="P039"/>
        <s v="P215"/>
        <s v="P024"/>
        <s v="P099"/>
        <s v="P010"/>
        <s v="P291"/>
        <s v="P133"/>
        <s v="P027"/>
        <s v="P134"/>
        <s v="P090"/>
        <s v="P034"/>
        <s v="P007"/>
        <s v="P142"/>
        <s v="P127"/>
        <s v="P170"/>
        <s v="P095"/>
        <s v="P288"/>
        <s v="P237"/>
        <s v="P270"/>
        <s v="P005"/>
        <s v="P086"/>
        <s v="P144"/>
        <s v="P197"/>
        <s v="P135"/>
        <s v="P073"/>
        <s v="P267"/>
        <s v="P020"/>
        <s v="P067"/>
        <s v="P150"/>
        <s v="P281"/>
        <s v="P217"/>
        <s v="P200"/>
        <s v="P107"/>
        <s v="P115"/>
        <s v="P223"/>
        <s v="P279"/>
        <s v="P025"/>
        <s v="P015"/>
        <s v="P296"/>
        <s v="P298"/>
        <s v="P216"/>
        <s v="P283"/>
        <s v="P256"/>
        <s v="P030"/>
        <s v="P203"/>
        <s v="P225"/>
        <s v="P145"/>
        <s v="P190"/>
        <s v="P003"/>
        <s v="P176"/>
        <s v="P063"/>
        <m/>
      </sharedItems>
    </cacheField>
    <cacheField name="Clicks" numFmtId="4">
      <sharedItems containsString="0" containsBlank="1" containsNumber="1" containsInteger="1">
        <n v="12.0"/>
        <n v="262.0"/>
        <n v="201.0"/>
        <n v="238.0"/>
        <n v="154.0"/>
        <n v="148.0"/>
        <n v="293.0"/>
        <n v="117.0"/>
        <n v="287.0"/>
        <n v="43.0"/>
        <n v="282.0"/>
        <n v="11.0"/>
        <n v="223.0"/>
        <n v="19.0"/>
        <n v="185.0"/>
        <n v="164.0"/>
        <n v="64.0"/>
        <n v="82.0"/>
        <n v="198.0"/>
        <n v="184.0"/>
        <n v="208.0"/>
        <n v="150.0"/>
        <n v="20.0"/>
        <n v="212.0"/>
        <n v="63.0"/>
        <n v="93.0"/>
        <n v="270.0"/>
        <n v="121.0"/>
        <n v="41.0"/>
        <n v="102.0"/>
        <n v="24.0"/>
        <n v="239.0"/>
        <n v="160.0"/>
        <n v="157.0"/>
        <n v="91.0"/>
        <n v="240.0"/>
        <n v="132.0"/>
        <n v="45.0"/>
        <n v="241.0"/>
        <n v="137.0"/>
        <n v="17.0"/>
        <n v="200.0"/>
        <n v="221.0"/>
        <n v="277.0"/>
        <n v="197.0"/>
        <n v="195.0"/>
        <n v="130.0"/>
        <n v="172.0"/>
        <n v="176.0"/>
        <n v="158.0"/>
        <n v="47.0"/>
        <n v="228.0"/>
        <n v="73.0"/>
        <n v="230.0"/>
        <n v="275.0"/>
        <n v="21.0"/>
        <n v="210.0"/>
        <n v="205.0"/>
        <n v="89.0"/>
        <n v="256.0"/>
        <n v="36.0"/>
        <n v="122.0"/>
        <n v="297.0"/>
        <n v="170.0"/>
        <n v="79.0"/>
        <n v="97.0"/>
        <n v="180.0"/>
        <n v="46.0"/>
        <n v="131.0"/>
        <n v="58.0"/>
        <n v="167.0"/>
        <n v="127.0"/>
        <n v="235.0"/>
        <n v="52.0"/>
        <n v="84.0"/>
        <n v="112.0"/>
        <n v="234.0"/>
        <n v="23.0"/>
        <n v="34.0"/>
        <n v="10.0"/>
        <n v="169.0"/>
        <n v="237.0"/>
        <n v="143.0"/>
        <n v="128.0"/>
        <n v="265.0"/>
        <n v="272.0"/>
        <n v="229.0"/>
        <n v="104.0"/>
        <n v="129.0"/>
        <n v="65.0"/>
        <n v="233.0"/>
        <n v="217.0"/>
        <n v="299.0"/>
        <n v="70.0"/>
        <n v="199.0"/>
        <n v="251.0"/>
        <n v="236.0"/>
        <n v="25.0"/>
        <n v="174.0"/>
        <n v="186.0"/>
        <n v="118.0"/>
        <n v="123.0"/>
        <n v="224.0"/>
        <n v="57.0"/>
        <n v="194.0"/>
        <n v="44.0"/>
        <n v="60.0"/>
        <n v="32.0"/>
        <n v="213.0"/>
        <n v="113.0"/>
        <n v="87.0"/>
        <n v="85.0"/>
        <n v="83.0"/>
        <n v="219.0"/>
        <n v="177.0"/>
        <n v="255.0"/>
        <n v="226.0"/>
        <n v="227.0"/>
        <n v="289.0"/>
        <n v="271.0"/>
        <n v="189.0"/>
        <n v="245.0"/>
        <n v="231.0"/>
        <n v="39.0"/>
        <n v="187.0"/>
        <n v="30.0"/>
        <n v="171.0"/>
        <n v="173.0"/>
        <n v="103.0"/>
        <n v="209.0"/>
        <n v="142.0"/>
        <n v="51.0"/>
        <n v="216.0"/>
        <n v="38.0"/>
        <n v="296.0"/>
        <n v="71.0"/>
        <n v="283.0"/>
        <n v="159.0"/>
        <n v="147.0"/>
        <n v="149.0"/>
        <n v="15.0"/>
        <n v="49.0"/>
        <n v="211.0"/>
        <n v="22.0"/>
        <n v="266.0"/>
        <n v="88.0"/>
        <n v="254.0"/>
        <n v="120.0"/>
        <n v="135.0"/>
        <n v="145.0"/>
        <n v="298.0"/>
        <n v="264.0"/>
        <n v="269.0"/>
        <n v="191.0"/>
        <n v="300.0"/>
        <n v="248.0"/>
        <n v="288.0"/>
        <n v="75.0"/>
        <n v="99.0"/>
        <n v="133.0"/>
        <n v="225.0"/>
        <n v="28.0"/>
        <n v="76.0"/>
        <n v="31.0"/>
        <n v="42.0"/>
        <n v="114.0"/>
        <n v="292.0"/>
        <n v="182.0"/>
        <n v="40.0"/>
        <n v="119.0"/>
        <n v="249.0"/>
        <n v="246.0"/>
        <n v="192.0"/>
        <n v="92.0"/>
        <n v="161.0"/>
        <n v="35.0"/>
        <n v="215.0"/>
        <n v="53.0"/>
        <n v="163.0"/>
        <n v="242.0"/>
        <n v="66.0"/>
        <n v="62.0"/>
        <n v="100.0"/>
        <n v="290.0"/>
        <n v="56.0"/>
        <n v="252.0"/>
        <n v="279.0"/>
        <n v="14.0"/>
        <n v="286.0"/>
        <n v="204.0"/>
        <n v="125.0"/>
        <m/>
      </sharedItems>
    </cacheField>
    <cacheField name="Hashtag" numFmtId="0">
      <sharedItems containsBlank="1">
        <s v="ThirstyForMore"/>
        <s v="PepsiCoRefresh"/>
        <s v="LiveForNow"/>
        <s v="BetterWithPepsi"/>
        <s v="AnytimeIsPepsiTime"/>
        <s v="SmoothLikeNitroPepsi"/>
        <m/>
      </sharedItems>
    </cacheField>
    <cacheField name="Likes" numFmtId="4">
      <sharedItems containsString="0" containsBlank="1" containsNumber="1" containsInteger="1">
        <n v="84.0"/>
        <n v="103.0"/>
        <n v="249.0"/>
        <n v="129.0"/>
        <n v="142.0"/>
        <n v="53.0"/>
        <n v="59.0"/>
        <n v="80.0"/>
        <n v="257.0"/>
        <n v="199.0"/>
        <n v="521.0"/>
        <n v="804.0"/>
        <n v="1000.0"/>
        <n v="736.0"/>
        <n v="498.0"/>
        <n v="602.0"/>
        <n v="985.0"/>
        <n v="1970.0"/>
        <n v="1164.0"/>
        <n v="2234.0"/>
        <n v="432.0"/>
        <n v="360.0"/>
        <n v="438.0"/>
        <n v="1431.0"/>
        <n v="2603.0"/>
        <n v="886.0"/>
        <n v="4661.0"/>
        <n v="562.0"/>
        <n v="1188.0"/>
        <n v="1741.0"/>
        <n v="1877.0"/>
        <n v="4188.0"/>
        <n v="4236.0"/>
        <n v="2166.0"/>
        <n v="606.0"/>
        <n v="400.0"/>
        <n v="4363.0"/>
        <n v="780.0"/>
        <n v="3170.0"/>
        <n v="4501.0"/>
        <n v="4561.0"/>
        <n v="1543.0"/>
        <n v="2174.0"/>
        <n v="2120.0"/>
        <n v="3065.0"/>
        <n v="2566.0"/>
        <n v="3008.0"/>
        <n v="1436.0"/>
        <n v="3575.0"/>
        <n v="1249.0"/>
        <n v="3134.0"/>
        <n v="3601.0"/>
        <n v="1556.0"/>
        <n v="4133.0"/>
        <n v="1048.0"/>
        <n v="4804.0"/>
        <n v="3389.0"/>
        <n v="2610.0"/>
        <n v="4177.0"/>
        <n v="2278.0"/>
        <n v="1869.0"/>
        <n v="4767.0"/>
        <n v="456.0"/>
        <n v="4731.0"/>
        <n v="2945.0"/>
        <n v="754.0"/>
        <n v="3024.0"/>
        <n v="4321.0"/>
        <n v="1957.0"/>
        <n v="2147.0"/>
        <n v="1108.0"/>
        <n v="2214.0"/>
        <n v="2647.0"/>
        <n v="3704.0"/>
        <n v="3649.0"/>
        <n v="2704.0"/>
        <n v="1952.0"/>
        <n v="1686.0"/>
        <n v="904.0"/>
        <n v="1094.0"/>
        <n v="305.0"/>
        <n v="4453.0"/>
        <n v="2089.0"/>
        <n v="947.0"/>
        <n v="2291.0"/>
        <n v="3239.0"/>
        <n v="4934.0"/>
        <n v="1206.0"/>
        <n v="3256.0"/>
        <n v="2404.0"/>
        <n v="4242.0"/>
        <n v="1176.0"/>
        <n v="1330.0"/>
        <n v="1076.0"/>
        <n v="4274.0"/>
        <n v="4886.0"/>
        <n v="3811.0"/>
        <n v="4941.0"/>
        <n v="4750.0"/>
        <n v="2581.0"/>
        <n v="3828.0"/>
        <n v="3655.0"/>
        <n v="914.0"/>
        <n v="3215.0"/>
        <n v="3801.0"/>
        <n v="302.0"/>
        <n v="4021.0"/>
        <n v="2754.0"/>
        <n v="1947.0"/>
        <n v="4799.0"/>
        <n v="1855.0"/>
        <n v="2692.0"/>
        <n v="4840.0"/>
        <n v="1257.0"/>
        <n v="4000.0"/>
        <n v="2946.0"/>
        <n v="1946.0"/>
        <n v="3196.0"/>
        <n v="1407.0"/>
        <n v="3138.0"/>
        <n v="1813.0"/>
        <n v="3092.0"/>
        <n v="3809.0"/>
        <n v="2634.0"/>
        <n v="880.0"/>
        <n v="3874.0"/>
        <n v="3523.0"/>
        <n v="4134.0"/>
        <n v="1674.0"/>
        <n v="3767.0"/>
        <n v="2551.0"/>
        <n v="1881.0"/>
        <n v="3960.0"/>
        <n v="3775.0"/>
        <n v="1606.0"/>
        <n v="1377.0"/>
        <n v="1792.0"/>
        <n v="4671.0"/>
        <n v="2283.0"/>
        <n v="571.0"/>
        <n v="4419.0"/>
        <n v="1762.0"/>
        <n v="1575.0"/>
        <n v="246.0"/>
        <n v="1814.0"/>
        <n v="4516.0"/>
        <n v="3559.0"/>
        <n v="3352.0"/>
        <n v="4775.0"/>
        <n v="941.0"/>
        <n v="1488.0"/>
        <n v="2164.0"/>
        <n v="3820.0"/>
        <n v="3929.0"/>
        <n v="1238.0"/>
        <n v="3000.0"/>
        <n v="4689.0"/>
        <n v="4182.0"/>
        <n v="1071.0"/>
        <n v="4050.0"/>
        <n v="4158.0"/>
        <n v="3689.0"/>
        <n v="4285.0"/>
        <n v="4858.0"/>
        <n v="4771.0"/>
        <n v="2358.0"/>
        <n v="1018.0"/>
        <n v="3641.0"/>
        <n v="3592.0"/>
        <n v="4523.0"/>
        <n v="1816.0"/>
        <n v="4441.0"/>
        <n v="2746.0"/>
        <n v="1292.0"/>
        <n v="2180.0"/>
        <n v="1766.0"/>
        <n v="1226.0"/>
        <n v="3099.0"/>
        <n v="1082.0"/>
        <n v="1461.0"/>
        <n v="802.0"/>
        <n v="3711.0"/>
        <n v="3009.0"/>
        <n v="2936.0"/>
        <n v="3068.0"/>
        <n v="296.0"/>
        <n v="3784.0"/>
        <n v="4332.0"/>
        <n v="827.0"/>
        <n v="4739.0"/>
        <n v="3791.0"/>
        <n v="1841.0"/>
        <n v="3430.0"/>
        <n v="2949.0"/>
        <n v="929.0"/>
        <n v="1430.0"/>
        <n v="4619.0"/>
        <n v="725.0"/>
        <n v="2509.0"/>
        <n v="2728.0"/>
        <n v="4292.0"/>
        <n v="4350.0"/>
        <n v="4579.0"/>
        <n v="2107.0"/>
        <n v="1644.0"/>
        <n v="4494.0"/>
        <n v="4275.0"/>
        <n v="4853.0"/>
        <n v="3160.0"/>
        <n v="2696.0"/>
        <n v="1871.0"/>
        <n v="954.0"/>
        <n v="2878.0"/>
        <n v="4808.0"/>
        <n v="1121.0"/>
        <n v="2825.0"/>
        <n v="3432.0"/>
        <n v="1570.0"/>
        <n v="4551.0"/>
        <n v="3090.0"/>
        <n v="1263.0"/>
        <n v="3535.0"/>
        <n v="2200.0"/>
        <n v="2103.0"/>
        <n v="3663.0"/>
        <n v="1702.0"/>
        <n v="4838.0"/>
        <n v="4518.0"/>
        <n v="4054.0"/>
        <n v="1272.0"/>
        <n v="1171.0"/>
        <n v="3452.0"/>
        <n v="3796.0"/>
        <n v="3371.0"/>
        <n v="2418.0"/>
        <n v="2719.0"/>
        <n v="4450.0"/>
        <n v="1950.0"/>
        <n v="3813.0"/>
        <n v="2751.0"/>
        <n v="2382.0"/>
        <n v="3073.0"/>
        <n v="4725.0"/>
        <n v="3360.0"/>
        <n v="3564.0"/>
        <n v="4872.0"/>
        <n v="3961.0"/>
        <n v="4171.0"/>
        <n v="4241.0"/>
        <n v="4663.0"/>
        <n v="2072.0"/>
        <n v="2076.0"/>
        <n v="3731.0"/>
        <n v="3861.0"/>
        <n v="1652.0"/>
        <n v="3860.0"/>
        <n v="2070.0"/>
        <n v="3577.0"/>
        <n v="3182.0"/>
        <n v="4780.0"/>
        <n v="3770.0"/>
        <n v="3774.0"/>
        <n v="3557.0"/>
        <n v="3428.0"/>
        <n v="4929.0"/>
        <n v="4782.0"/>
        <n v="4213.0"/>
        <n v="4126.0"/>
        <n v="4187.0"/>
        <n v="4712.0"/>
        <n v="4295.0"/>
        <n v="3166.0"/>
        <n v="4606.0"/>
        <n v="3718.0"/>
        <n v="4832.0"/>
        <n v="2493.0"/>
        <n v="3338.0"/>
        <n v="4905.0"/>
        <n v="3128.0"/>
        <n v="3888.0"/>
        <n v="3440.0"/>
        <n v="4303.0"/>
        <n v="1509.0"/>
        <n v="3367.0"/>
        <n v="2143.0"/>
        <n v="3095.0"/>
        <n v="3773.0"/>
        <n v="4672.0"/>
        <n v="1878.0"/>
        <n v="1963.0"/>
        <n v="2795.0"/>
        <n v="3798.0"/>
        <n v="4507.0"/>
        <m/>
      </sharedItems>
    </cacheField>
    <cacheField name="Comments" numFmtId="4">
      <sharedItems containsString="0" containsBlank="1" containsNumber="1" containsInteger="1">
        <n v="897.0"/>
        <n v="770.0"/>
        <n v="592.0"/>
        <n v="643.0"/>
        <n v="784.0"/>
        <n v="81.0"/>
        <n v="163.0"/>
        <n v="362.0"/>
        <n v="966.0"/>
        <n v="772.0"/>
        <n v="746.0"/>
        <n v="639.0"/>
        <n v="978.0"/>
        <n v="771.0"/>
        <n v="701.0"/>
        <n v="594.0"/>
        <n v="932.0"/>
        <n v="675.0"/>
        <n v="616.0"/>
        <n v="653.0"/>
        <n v="171.0"/>
        <n v="590.0"/>
        <n v="153.0"/>
        <n v="951.0"/>
        <n v="690.0"/>
        <n v="126.0"/>
        <n v="935.0"/>
        <n v="158.0"/>
        <n v="470.0"/>
        <n v="164.0"/>
        <n v="745.0"/>
        <n v="942.0"/>
        <n v="711.0"/>
        <n v="354.0"/>
        <n v="789.0"/>
        <n v="680.0"/>
        <n v="649.0"/>
        <n v="928.0"/>
        <n v="857.0"/>
        <n v="375.0"/>
        <n v="51.0"/>
        <n v="820.0"/>
        <n v="658.0"/>
        <n v="118.0"/>
        <n v="94.0"/>
        <n v="765.0"/>
        <n v="749.0"/>
        <n v="116.0"/>
        <n v="888.0"/>
        <n v="695.0"/>
        <n v="195.0"/>
        <n v="466.0"/>
        <n v="374.0"/>
        <n v="550.0"/>
        <n v="344.0"/>
        <n v="569.0"/>
        <n v="10.0"/>
        <n v="453.0"/>
        <n v="38.0"/>
        <n v="190.0"/>
        <n v="629.0"/>
        <n v="173.0"/>
        <n v="930.0"/>
        <n v="197.0"/>
        <n v="925.0"/>
        <n v="874.0"/>
        <n v="877.0"/>
        <n v="430.0"/>
        <n v="624.0"/>
        <n v="177.0"/>
        <n v="249.0"/>
        <n v="304.0"/>
        <n v="186.0"/>
        <n v="831.0"/>
        <n v="215.0"/>
        <n v="752.0"/>
        <n v="904.0"/>
        <n v="973.0"/>
        <n v="472.0"/>
        <n v="187.0"/>
        <n v="111.0"/>
        <n v="476.0"/>
        <n v="338.0"/>
        <n v="78.0"/>
        <n v="43.0"/>
        <n v="971.0"/>
        <n v="238.0"/>
        <n v="459.0"/>
        <n v="363.0"/>
        <n v="555.0"/>
        <n v="464.0"/>
        <n v="313.0"/>
        <n v="340.0"/>
        <n v="983.0"/>
        <n v="866.0"/>
        <n v="414.0"/>
        <n v="151.0"/>
        <n v="517.0"/>
        <n v="148.0"/>
        <n v="568.0"/>
        <n v="960.0"/>
        <n v="967.0"/>
        <n v="47.0"/>
        <n v="794.0"/>
        <n v="130.0"/>
        <n v="842.0"/>
        <n v="694.0"/>
        <n v="200.0"/>
        <n v="115.0"/>
        <n v="19.0"/>
        <n v="689.0"/>
        <n v="498.0"/>
        <n v="686.0"/>
        <n v="941.0"/>
        <n v="400.0"/>
        <n v="123.0"/>
        <n v="623.0"/>
        <n v="106.0"/>
        <n v="273.0"/>
        <n v="726.0"/>
        <n v="297.0"/>
        <n v="884.0"/>
        <n v="753.0"/>
        <n v="824.0"/>
        <n v="929.0"/>
        <n v="514.0"/>
        <n v="915.0"/>
        <n v="501.0"/>
        <n v="266.0"/>
        <n v="16.0"/>
        <n v="451.0"/>
        <n v="796.0"/>
        <n v="614.0"/>
        <n v="876.0"/>
        <n v="210.0"/>
        <n v="236.0"/>
        <n v="405.0"/>
        <n v="149.0"/>
        <n v="836.0"/>
        <n v="59.0"/>
        <n v="121.0"/>
        <n v="417.0"/>
        <n v="549.0"/>
        <n v="697.0"/>
        <n v="262.0"/>
        <n v="366.0"/>
        <n v="382.0"/>
        <n v="134.0"/>
        <n v="640.0"/>
        <n v="519.0"/>
        <n v="871.0"/>
        <n v="167.0"/>
        <n v="48.0"/>
        <n v="886.0"/>
        <n v="317.0"/>
        <n v="818.0"/>
        <n v="447.0"/>
        <n v="226.0"/>
        <n v="911.0"/>
        <n v="61.0"/>
        <n v="29.0"/>
        <n v="511.0"/>
        <n v="156.0"/>
        <n v="626.0"/>
        <n v="263.0"/>
        <n v="92.0"/>
        <n v="119.0"/>
        <n v="209.0"/>
        <n v="184.0"/>
        <n v="352.0"/>
        <n v="413.0"/>
        <n v="439.0"/>
        <n v="137.0"/>
        <n v="60.0"/>
        <n v="808.0"/>
        <n v="77.0"/>
        <n v="527.0"/>
        <n v="593.0"/>
        <n v="851.0"/>
        <n v="566.0"/>
        <n v="192.0"/>
        <n v="376.0"/>
        <n v="821.0"/>
        <n v="88.0"/>
        <n v="324.0"/>
        <n v="533.0"/>
        <n v="125.0"/>
        <n v="546.0"/>
        <n v="717.0"/>
        <n v="837.0"/>
        <n v="204.0"/>
        <n v="628.0"/>
        <n v="252.0"/>
        <n v="248.0"/>
        <n v="135.0"/>
        <n v="535.0"/>
        <n v="869.0"/>
        <n v="714.0"/>
        <n v="397.0"/>
        <n v="494.0"/>
        <n v="504.0"/>
        <n v="892.0"/>
        <n v="17.0"/>
        <n v="750.0"/>
        <n v="547.0"/>
        <n v="285.0"/>
        <n v="389.0"/>
        <n v="465.0"/>
        <n v="286.0"/>
        <n v="377.0"/>
        <n v="667.0"/>
        <n v="754.0"/>
        <n v="295.0"/>
        <n v="33.0"/>
        <n v="265.0"/>
        <n v="553.0"/>
        <n v="525.0"/>
        <n v="761.0"/>
        <n v="548.0"/>
        <n v="902.0"/>
        <n v="145.0"/>
        <n v="532.0"/>
        <n v="89.0"/>
        <n v="201.0"/>
        <n v="275.0"/>
        <n v="652.0"/>
        <n v="596.0"/>
        <n v="559.0"/>
        <n v="691.0"/>
        <n v="917.0"/>
        <n v="239.0"/>
        <n v="687.0"/>
        <n v="305.0"/>
        <n v="721.0"/>
        <n v="253.0"/>
        <n v="426.0"/>
        <n v="66.0"/>
        <n v="488.0"/>
        <n v="853.0"/>
        <n v="90.0"/>
        <n v="931.0"/>
        <n v="385.0"/>
        <n v="893.0"/>
        <n v="97.0"/>
        <n v="277.0"/>
        <n v="845.0"/>
        <n v="211.0"/>
        <n v="604.0"/>
        <n v="13.0"/>
        <n v="302.0"/>
        <n v="12.0"/>
        <n v="39.0"/>
        <n v="299.0"/>
        <n v="325.0"/>
        <n v="62.0"/>
        <n v="213.0"/>
        <n v="105.0"/>
        <n v="31.0"/>
        <n v="217.0"/>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000" sheet="Posts"/>
  </cacheSource>
  <cacheFields>
    <cacheField name="Post ID" numFmtId="0">
      <sharedItems containsBlank="1">
        <s v="P070"/>
        <s v="P224"/>
        <s v="P248"/>
        <s v="P259"/>
        <s v="P277"/>
        <s v="P246"/>
        <s v="P120"/>
        <s v="P159"/>
        <s v="P137"/>
        <s v="P077"/>
        <s v="P152"/>
        <s v="P218"/>
        <s v="P242"/>
        <s v="P294"/>
        <s v="P006"/>
        <s v="P037"/>
        <s v="P241"/>
        <s v="P275"/>
        <s v="P221"/>
        <s v="P252"/>
        <s v="P052"/>
        <s v="P140"/>
        <s v="P014"/>
        <s v="P299"/>
        <s v="P174"/>
        <s v="P088"/>
        <s v="P236"/>
        <s v="P056"/>
        <s v="P012"/>
        <s v="P235"/>
        <s v="P033"/>
        <s v="P293"/>
        <s v="P292"/>
        <s v="P245"/>
        <s v="P255"/>
        <s v="P247"/>
        <s v="P222"/>
        <s v="P156"/>
        <s v="P182"/>
        <s v="P266"/>
        <s v="P103"/>
        <s v="P017"/>
        <s v="P055"/>
        <s v="P009"/>
        <s v="P084"/>
        <s v="P162"/>
        <s v="P186"/>
        <s v="P213"/>
        <s v="P202"/>
        <s v="P064"/>
        <s v="P022"/>
        <s v="P118"/>
        <s v="P257"/>
        <s v="P091"/>
        <s v="P051"/>
        <s v="P230"/>
        <s v="P023"/>
        <s v="P234"/>
        <s v="P016"/>
        <s v="P179"/>
        <s v="P045"/>
        <s v="P168"/>
        <s v="P250"/>
        <s v="P289"/>
        <s v="P233"/>
        <s v="P172"/>
        <s v="P189"/>
        <s v="P039"/>
        <s v="P215"/>
        <s v="P024"/>
        <s v="P010"/>
        <s v="P291"/>
        <s v="P133"/>
        <s v="P034"/>
        <s v="P127"/>
        <s v="P135"/>
        <s v="P073"/>
        <s v="P067"/>
        <s v="P217"/>
        <s v="P200"/>
        <s v="P015"/>
        <s v="P298"/>
        <s v="P176"/>
        <s v="P220"/>
        <s v="P058"/>
        <s v="P178"/>
        <s v="P175"/>
        <s v="P214"/>
        <s v="P121"/>
        <s v="P154"/>
        <s v="P119"/>
        <s v="P287"/>
        <s v="P204"/>
        <s v="P183"/>
        <s v="P031"/>
        <s v="P093"/>
        <s v="P263"/>
        <s v="P226"/>
        <s v="P123"/>
        <s v="P163"/>
        <s v="P269"/>
        <s v="P043"/>
        <s v="P029"/>
        <s v="P271"/>
        <s v="P136"/>
        <s v="P258"/>
        <s v="P148"/>
        <s v="P068"/>
        <s v="P085"/>
        <s v="P041"/>
        <s v="P028"/>
        <s v="P094"/>
        <s v="P060"/>
        <s v="P147"/>
        <s v="P004"/>
        <s v="P192"/>
        <s v="P272"/>
        <s v="P195"/>
        <s v="P132"/>
        <s v="P229"/>
        <s v="P131"/>
        <s v="P105"/>
        <s v="P196"/>
        <s v="P110"/>
        <s v="P075"/>
        <s v="P065"/>
        <s v="P035"/>
        <s v="P251"/>
        <s v="P011"/>
        <s v="P158"/>
        <s v="P227"/>
        <s v="P151"/>
        <s v="P282"/>
        <s v="P018"/>
        <s v="P019"/>
        <s v="P126"/>
        <s v="P167"/>
        <s v="P185"/>
        <s v="P081"/>
        <s v="P059"/>
        <s v="P177"/>
        <s v="P079"/>
        <s v="P260"/>
        <s v="P097"/>
        <s v="P231"/>
        <s v="P106"/>
        <s v="P082"/>
        <s v="P268"/>
        <s v="P290"/>
        <s v="P261"/>
        <s v="P228"/>
        <s v="P122"/>
        <s v="P080"/>
        <s v="P021"/>
        <s v="P036"/>
        <s v="P090"/>
        <s v="P095"/>
        <s v="P237"/>
        <s v="P020"/>
        <s v="P030"/>
        <s v="P203"/>
        <s v="P145"/>
        <s v="P232"/>
        <s v="P062"/>
        <s v="P264"/>
        <s v="P102"/>
        <s v="P066"/>
        <s v="P219"/>
        <s v="P265"/>
        <s v="P297"/>
        <s v="P141"/>
        <s v="P087"/>
        <s v="P276"/>
        <s v="P198"/>
        <s v="P032"/>
        <s v="P211"/>
        <s v="P153"/>
        <s v="P112"/>
        <s v="P129"/>
        <s v="P046"/>
        <s v="P089"/>
        <s v="P109"/>
        <s v="P047"/>
        <s v="P295"/>
        <s v="P138"/>
        <s v="P165"/>
        <s v="P173"/>
        <s v="P166"/>
        <s v="P207"/>
        <s v="P061"/>
        <s v="P125"/>
        <s v="P040"/>
        <s v="P184"/>
        <s v="P092"/>
        <s v="P254"/>
        <s v="P114"/>
        <s v="P128"/>
        <s v="P117"/>
        <s v="P161"/>
        <s v="P284"/>
        <s v="P113"/>
        <s v="P098"/>
        <s v="P278"/>
        <s v="P206"/>
        <s v="P049"/>
        <s v="P205"/>
        <s v="P096"/>
        <s v="P108"/>
        <s v="P193"/>
        <s v="P044"/>
        <s v="P243"/>
        <s v="P069"/>
        <s v="P160"/>
        <s v="P001"/>
        <s v="P201"/>
        <s v="P249"/>
        <s v="P253"/>
        <s v="P240"/>
        <s v="P187"/>
        <s v="P300"/>
        <s v="P209"/>
        <s v="P078"/>
        <s v="P076"/>
        <s v="P057"/>
        <s v="P274"/>
        <s v="P149"/>
        <s v="P002"/>
        <s v="P048"/>
        <s v="P238"/>
        <s v="P134"/>
        <s v="P007"/>
        <s v="P170"/>
        <s v="P197"/>
        <s v="P267"/>
        <s v="P115"/>
        <s v="P223"/>
        <s v="P025"/>
        <s v="P296"/>
        <s v="P283"/>
        <s v="P225"/>
        <s v="P063"/>
        <s v="P143"/>
        <s v="P210"/>
        <s v="P053"/>
        <s v="P124"/>
        <s v="P244"/>
        <s v="P239"/>
        <s v="P181"/>
        <s v="P042"/>
        <s v="P146"/>
        <s v="P286"/>
        <s v="P116"/>
        <s v="P054"/>
        <s v="P083"/>
        <s v="P164"/>
        <s v="P262"/>
        <s v="P104"/>
        <s v="P285"/>
        <s v="P050"/>
        <s v="P074"/>
        <s v="P038"/>
        <s v="P169"/>
        <s v="P212"/>
        <s v="P071"/>
        <s v="P155"/>
        <s v="P157"/>
        <s v="P008"/>
        <s v="P191"/>
        <s v="P171"/>
        <s v="P273"/>
        <s v="P139"/>
        <s v="P100"/>
        <s v="P180"/>
        <s v="P026"/>
        <s v="P130"/>
        <s v="P072"/>
        <s v="P208"/>
        <s v="P199"/>
        <s v="P188"/>
        <s v="P194"/>
        <s v="P280"/>
        <s v="P013"/>
        <s v="P111"/>
        <s v="P101"/>
        <s v="P099"/>
        <s v="P027"/>
        <s v="P142"/>
        <s v="P288"/>
        <s v="P270"/>
        <s v="P005"/>
        <s v="P086"/>
        <s v="P144"/>
        <s v="P150"/>
        <s v="P281"/>
        <s v="P107"/>
        <s v="P279"/>
        <s v="P216"/>
        <s v="P256"/>
        <s v="P190"/>
        <s v="P003"/>
        <m/>
      </sharedItems>
    </cacheField>
    <cacheField name="Platform_Clean" numFmtId="0">
      <sharedItems containsBlank="1">
        <s v="FACEBOOK"/>
        <s v="INSTAGRAM"/>
        <s v="TWITTER"/>
        <s v="YOUTUBE"/>
        <m/>
      </sharedItems>
    </cacheField>
    <cacheField name="Data" numFmtId="164">
      <sharedItems containsDate="1" containsString="0" containsBlank="1">
        <d v="2025-04-02T00:00:00Z"/>
        <d v="2025-05-13T00:00:00Z"/>
        <d v="2025-02-02T00:00:00Z"/>
        <d v="2025-02-10T00:00:00Z"/>
        <d v="2025-04-06T00:00:00Z"/>
        <d v="2024-10-11T00:00:00Z"/>
        <d v="2024-10-21T00:00:00Z"/>
        <d v="2024-11-25T00:00:00Z"/>
        <d v="2024-07-31T00:00:00Z"/>
        <d v="2025-03-04T00:00:00Z"/>
        <d v="2025-04-22T00:00:00Z"/>
        <d v="2024-06-11T00:00:00Z"/>
        <d v="2024-07-07T00:00:00Z"/>
        <d v="2024-06-19T00:00:00Z"/>
        <d v="2024-10-31T00:00:00Z"/>
        <d v="2025-01-06T00:00:00Z"/>
        <d v="2025-01-18T00:00:00Z"/>
        <d v="2024-08-05T00:00:00Z"/>
        <d v="2025-03-23T00:00:00Z"/>
        <d v="2025-04-28T00:00:00Z"/>
        <d v="2025-01-03T00:00:00Z"/>
        <d v="2024-07-15T00:00:00Z"/>
        <d v="2025-02-16T00:00:00Z"/>
        <d v="2024-08-26T00:00:00Z"/>
        <d v="2024-06-22T00:00:00Z"/>
        <d v="2024-08-19T00:00:00Z"/>
        <d v="2024-12-18T00:00:00Z"/>
        <d v="2024-07-21T00:00:00Z"/>
        <d v="2024-12-22T00:00:00Z"/>
        <d v="2024-08-21T00:00:00Z"/>
        <d v="2025-05-14T00:00:00Z"/>
        <d v="2024-11-17T00:00:00Z"/>
        <d v="2025-01-12T00:00:00Z"/>
        <d v="2025-04-03T00:00:00Z"/>
        <d v="2024-08-27T00:00:00Z"/>
        <d v="2024-10-08T00:00:00Z"/>
        <d v="2024-10-22T00:00:00Z"/>
        <d v="2025-05-05T00:00:00Z"/>
        <d v="2024-06-17T00:00:00Z"/>
        <d v="2024-08-30T00:00:00Z"/>
        <d v="2024-12-09T00:00:00Z"/>
        <d v="2025-04-01T00:00:00Z"/>
        <d v="2024-08-24T00:00:00Z"/>
        <d v="2025-05-01T00:00:00Z"/>
        <d v="2024-06-02T00:00:00Z"/>
        <d v="2024-08-17T00:00:00Z"/>
        <d v="2025-02-27T00:00:00Z"/>
        <d v="2024-11-04T00:00:00Z"/>
        <d v="2025-03-24T00:00:00Z"/>
        <d v="2024-06-13T00:00:00Z"/>
        <d v="2024-11-06T00:00:00Z"/>
        <d v="2024-06-01T00:00:00Z"/>
        <d v="2024-11-01T00:00:00Z"/>
        <d v="2024-11-12T00:00:00Z"/>
        <d v="2024-11-28T00:00:00Z"/>
        <d v="2025-03-08T00:00:00Z"/>
        <d v="2024-08-14T00:00:00Z"/>
        <d v="2025-05-06T00:00:00Z"/>
        <d v="2025-01-23T00:00:00Z"/>
        <d v="2025-03-11T00:00:00Z"/>
        <d v="2025-02-06T00:00:00Z"/>
        <d v="2025-03-26T00:00:00Z"/>
        <d v="2025-01-27T00:00:00Z"/>
        <d v="2024-10-18T00:00:00Z"/>
        <d v="2025-03-29T00:00:00Z"/>
        <d v="2024-12-03T00:00:00Z"/>
        <d v="2025-04-07T00:00:00Z"/>
        <d v="2024-10-24T00:00:00Z"/>
        <d v="2024-06-20T00:00:00Z"/>
        <d v="2025-04-15T00:00:00Z"/>
        <d v="2024-11-07T00:00:00Z"/>
        <d v="2025-01-17T00:00:00Z"/>
        <d v="2024-12-23T00:00:00Z"/>
        <d v="2024-07-29T00:00:00Z"/>
        <d v="2024-10-09T00:00:00Z"/>
        <d v="2025-02-07T00:00:00Z"/>
        <d v="2024-08-15T00:00:00Z"/>
        <d v="2025-01-01T00:00:00Z"/>
        <d v="2024-12-17T00:00:00Z"/>
        <d v="2024-12-16T00:00:00Z"/>
        <d v="2024-12-11T00:00:00Z"/>
        <d v="2024-08-20T00:00:00Z"/>
        <d v="2024-08-07T00:00:00Z"/>
        <d v="2024-06-14T00:00:00Z"/>
        <d v="2025-04-08T00:00:00Z"/>
        <d v="2024-11-05T00:00:00Z"/>
        <d v="2024-12-14T00:00:00Z"/>
        <d v="2025-01-31T00:00:00Z"/>
        <d v="2024-10-17T00:00:00Z"/>
        <d v="2024-07-11T00:00:00Z"/>
        <d v="2024-12-08T00:00:00Z"/>
        <d v="2025-04-19T00:00:00Z"/>
        <d v="2025-01-28T00:00:00Z"/>
        <d v="2024-08-12T00:00:00Z"/>
        <d v="2024-11-29T00:00:00Z"/>
        <d v="2025-03-27T00:00:00Z"/>
        <d v="2024-07-03T00:00:00Z"/>
        <d v="2024-12-19T00:00:00Z"/>
        <d v="2024-08-01T00:00:00Z"/>
        <d v="2025-03-28T00:00:00Z"/>
        <d v="2024-11-30T00:00:00Z"/>
        <d v="2024-08-11T00:00:00Z"/>
        <d v="2024-06-12T00:00:00Z"/>
        <d v="2024-07-26T00:00:00Z"/>
        <d v="2024-10-03T00:00:00Z"/>
        <d v="2024-06-23T00:00:00Z"/>
        <d v="2025-01-11T00:00:00Z"/>
        <d v="2024-10-19T00:00:00Z"/>
        <d v="2024-07-10T00:00:00Z"/>
        <d v="2025-02-12T00:00:00Z"/>
        <d v="2024-08-13T00:00:00Z"/>
        <d v="2025-02-04T00:00:00Z"/>
        <d v="2024-07-24T00:00:00Z"/>
        <d v="2025-04-13T00:00:00Z"/>
        <d v="2024-12-20T00:00:00Z"/>
        <d v="2024-10-27T00:00:00Z"/>
        <d v="2024-07-01T00:00:00Z"/>
        <d v="2024-10-02T00:00:00Z"/>
        <d v="2025-01-04T00:00:00Z"/>
        <d v="2024-06-03T00:00:00Z"/>
        <d v="2024-11-08T00:00:00Z"/>
        <d v="2024-09-09T00:00:00Z"/>
        <d v="2025-02-25T00:00:00Z"/>
        <d v="2024-11-21T00:00:00Z"/>
        <d v="2025-04-29T00:00:00Z"/>
        <d v="2024-11-22T00:00:00Z"/>
        <d v="2025-01-30T00:00:00Z"/>
        <d v="2024-09-18T00:00:00Z"/>
        <d v="2025-02-20T00:00:00Z"/>
        <d v="2024-12-24T00:00:00Z"/>
        <d v="2024-08-31T00:00:00Z"/>
        <d v="2024-06-06T00:00:00Z"/>
        <d v="2024-06-07T00:00:00Z"/>
        <d v="2024-09-14T00:00:00Z"/>
        <d v="2024-07-18T00:00:00Z"/>
        <d v="2024-10-05T00:00:00Z"/>
        <d v="2025-05-02T00:00:00Z"/>
        <d v="2025-01-10T00:00:00Z"/>
        <d v="2024-08-08T00:00:00Z"/>
        <d v="2025-02-24T00:00:00Z"/>
        <d v="2024-12-05T00:00:00Z"/>
        <d v="2024-12-29T00:00:00Z"/>
        <d v="2024-09-05T00:00:00Z"/>
        <d v="2024-09-08T00:00:00Z"/>
        <d v="2025-03-07T00:00:00Z"/>
        <d v="2024-07-28T00:00:00Z"/>
        <d v="2025-01-14T00:00:00Z"/>
        <d v="2024-11-14T00:00:00Z"/>
        <d v="2025-02-19T00:00:00Z"/>
        <d v="2024-09-17T00:00:00Z"/>
        <d v="2024-06-10T00:00:00Z"/>
        <d v="2024-11-26T00:00:00Z"/>
        <d v="2024-06-24T00:00:00Z"/>
        <d v="2025-04-24T00:00:00Z"/>
        <d v="2024-09-10T00:00:00Z"/>
        <d v="2025-03-25T00:00:00Z"/>
        <d v="2024-09-11T00:00:00Z"/>
        <d v="2025-03-02T00:00:00Z"/>
        <d v="2025-03-06T00:00:00Z"/>
        <d v="2025-01-15T00:00:00Z"/>
        <d v="2024-08-03T00:00:00Z"/>
        <d v="2025-03-19T00:00:00Z"/>
        <d v="2024-06-16T00:00:00Z"/>
        <d v="2024-07-16T00:00:00Z"/>
        <d v="2024-10-04T00:00:00Z"/>
        <d v="2025-05-11T00:00:00Z"/>
        <d v="2025-04-10T00:00:00Z"/>
        <d v="2025-02-11T00:00:00Z"/>
        <d v="2025-05-09T00:00:00Z"/>
        <d v="2024-10-25T00:00:00Z"/>
        <d v="2025-03-21T00:00:00Z"/>
        <d v="2025-03-05T00:00:00Z"/>
        <d v="2024-06-05T00:00:00Z"/>
        <d v="2024-09-25T00:00:00Z"/>
        <d v="2025-03-18T00:00:00Z"/>
        <d v="2025-03-13T00:00:00Z"/>
        <d v="2024-10-15T00:00:00Z"/>
        <d v="2024-10-28T00:00:00Z"/>
        <d v="2025-02-17T00:00:00Z"/>
        <d v="2025-03-03T00:00:00Z"/>
        <d v="2024-09-02T00:00:00Z"/>
        <d v="2024-12-21T00:00:00Z"/>
        <d v="2024-07-23T00:00:00Z"/>
        <d v="2024-07-13T00:00:00Z"/>
        <d v="2024-12-31T00:00:00Z"/>
        <d v="2024-10-12T00:00:00Z"/>
        <d v="2024-10-29T00:00:00Z"/>
        <d v="2025-04-05T00:00:00Z"/>
        <d v="2024-09-29T00:00:00Z"/>
        <d v="2024-11-18T00:00:00Z"/>
        <d v="2024-11-23T00:00:00Z"/>
        <d v="2024-07-02T00:00:00Z"/>
        <d v="2025-04-17T00:00:00Z"/>
        <d v="2024-06-26T00:00:00Z"/>
        <d v="2024-08-22T00:00:00Z"/>
        <d v="2025-03-22T00:00:00Z"/>
        <d v="2024-06-21T00:00:00Z"/>
        <d v="2025-05-12T00:00:00Z"/>
        <m/>
      </sharedItems>
    </cacheField>
    <cacheField name="Campaign_Name" numFmtId="164">
      <sharedItems containsBlank="1">
        <s v="Outside Campaign"/>
        <s v="NewYearRefresh"/>
        <s v="FestiveRadiance"/>
        <s v="SummerSplash"/>
        <m/>
      </sharedItems>
    </cacheField>
    <cacheField name="Content Type" numFmtId="0">
      <sharedItems containsBlank="1">
        <s v="Video"/>
        <s v="Image"/>
        <s v="Story"/>
        <s v="Text"/>
        <s v="Carousel"/>
        <s v="Reel"/>
        <m/>
      </sharedItems>
    </cacheField>
    <cacheField name="Post Text" numFmtId="0">
      <sharedItems containsBlank="1">
        <s v="Check out our latest video on facebook!"/>
        <s v="Check out our latest image on facebook!"/>
        <s v="Check out our latest story on facebook!"/>
        <s v="Check out our latest text on facebook!"/>
        <s v="Check out our latest carousel on facebook!"/>
        <s v="Check out our latest reel on facebook!"/>
        <s v="Check out our latest story on instagram!"/>
        <s v="Check out our latest reel on instagram!"/>
        <s v="Check out our latest video on instagram!"/>
        <s v="Check out our latest image on instagram!"/>
        <s v="Check out our latest carousel on instagram!"/>
        <s v="Check out our latest text on instagram!"/>
        <s v="Check out our latest story on twitter!"/>
        <s v="Check out our latest carousel on twitter!"/>
        <s v="Check out our latest image on twitter!"/>
        <s v="Check out our latest reel on twitter!"/>
        <s v="Check out our latest text on twitter!"/>
        <s v="Check out our latest video on twitter!"/>
        <s v="Check out our latest carousel on youtube!"/>
        <s v="Check out our latest image on youtube!"/>
        <s v="Check out our latest video on youtube!"/>
        <s v="Check out our latest text on youtube!"/>
        <s v="Check out our latest reel on youtube!"/>
        <s v="Check out our latest story on youtube!"/>
        <m/>
      </sharedItems>
    </cacheField>
    <cacheField name="Likes" numFmtId="4">
      <sharedItems containsString="0" containsBlank="1" containsNumber="1" containsInteger="1">
        <n v="199.0"/>
        <n v="602.0"/>
        <n v="886.0"/>
        <n v="562.0"/>
        <n v="4236.0"/>
        <n v="400.0"/>
        <n v="780.0"/>
        <n v="2120.0"/>
        <n v="3008.0"/>
        <n v="1249.0"/>
        <n v="4804.0"/>
        <n v="1869.0"/>
        <n v="4767.0"/>
        <n v="4731.0"/>
        <n v="2945.0"/>
        <n v="3024.0"/>
        <n v="4321.0"/>
        <n v="1741.0"/>
        <n v="4453.0"/>
        <n v="2089.0"/>
        <n v="947.0"/>
        <n v="2291.0"/>
        <n v="4242.0"/>
        <n v="2581.0"/>
        <n v="3828.0"/>
        <n v="302.0"/>
        <n v="1257.0"/>
        <n v="2946.0"/>
        <n v="1946.0"/>
        <n v="3196.0"/>
        <n v="1407.0"/>
        <n v="2634.0"/>
        <n v="880.0"/>
        <n v="4134.0"/>
        <n v="3767.0"/>
        <n v="3960.0"/>
        <n v="1814.0"/>
        <n v="3352.0"/>
        <n v="4689.0"/>
        <n v="4182.0"/>
        <n v="3689.0"/>
        <n v="4441.0"/>
        <n v="1226.0"/>
        <n v="3784.0"/>
        <n v="1841.0"/>
        <n v="3430.0"/>
        <n v="4292.0"/>
        <n v="2696.0"/>
        <n v="1871.0"/>
        <n v="2878.0"/>
        <n v="1570.0"/>
        <n v="4551.0"/>
        <n v="3090.0"/>
        <n v="1263.0"/>
        <n v="2200.0"/>
        <n v="3663.0"/>
        <n v="1606.0"/>
        <n v="1272.0"/>
        <n v="3452.0"/>
        <n v="3796.0"/>
        <n v="3371.0"/>
        <n v="2418.0"/>
        <n v="3813.0"/>
        <n v="2751.0"/>
        <n v="2382.0"/>
        <n v="3073.0"/>
        <n v="3360.0"/>
        <n v="3564.0"/>
        <n v="4872.0"/>
        <n v="3961.0"/>
        <n v="4241.0"/>
        <n v="4663.0"/>
        <n v="2072.0"/>
        <n v="1652.0"/>
        <n v="4213.0"/>
        <n v="4126.0"/>
        <n v="4712.0"/>
        <n v="4606.0"/>
        <n v="3718.0"/>
        <n v="3888.0"/>
        <n v="4303.0"/>
        <n v="3798.0"/>
        <n v="84.0"/>
        <n v="103.0"/>
        <n v="129.0"/>
        <n v="142.0"/>
        <n v="521.0"/>
        <n v="498.0"/>
        <n v="985.0"/>
        <n v="1970.0"/>
        <n v="1164.0"/>
        <n v="2234.0"/>
        <n v="360.0"/>
        <n v="438.0"/>
        <n v="1431.0"/>
        <n v="2603.0"/>
        <n v="4363.0"/>
        <n v="4501.0"/>
        <n v="4561.0"/>
        <n v="2174.0"/>
        <n v="2566.0"/>
        <n v="3575.0"/>
        <n v="3134.0"/>
        <n v="3601.0"/>
        <n v="4133.0"/>
        <n v="2610.0"/>
        <n v="4177.0"/>
        <n v="456.0"/>
        <n v="432.0"/>
        <n v="2647.0"/>
        <n v="904.0"/>
        <n v="3256.0"/>
        <n v="2404.0"/>
        <n v="1176.0"/>
        <n v="4941.0"/>
        <n v="914.0"/>
        <n v="1947.0"/>
        <n v="4799.0"/>
        <n v="4840.0"/>
        <n v="1813.0"/>
        <n v="3523.0"/>
        <n v="1674.0"/>
        <n v="1881.0"/>
        <n v="3775.0"/>
        <n v="1377.0"/>
        <n v="1792.0"/>
        <n v="1762.0"/>
        <n v="246.0"/>
        <n v="3559.0"/>
        <n v="1488.0"/>
        <n v="3000.0"/>
        <n v="1071.0"/>
        <n v="4158.0"/>
        <n v="4771.0"/>
        <n v="4523.0"/>
        <n v="1816.0"/>
        <n v="2180.0"/>
        <n v="3099.0"/>
        <n v="3068.0"/>
        <n v="4332.0"/>
        <n v="4739.0"/>
        <n v="1430.0"/>
        <n v="4619.0"/>
        <n v="725.0"/>
        <n v="4579.0"/>
        <n v="2107.0"/>
        <n v="4853.0"/>
        <n v="4808.0"/>
        <n v="3432.0"/>
        <n v="2103.0"/>
        <n v="4838.0"/>
        <n v="4518.0"/>
        <n v="3861.0"/>
        <n v="3182.0"/>
        <n v="3770.0"/>
        <n v="4054.0"/>
        <n v="3095.0"/>
        <n v="3773.0"/>
        <n v="1878.0"/>
        <n v="249.0"/>
        <n v="53.0"/>
        <n v="59.0"/>
        <n v="1000.0"/>
        <n v="1188.0"/>
        <n v="1877.0"/>
        <n v="2166.0"/>
        <n v="3170.0"/>
        <n v="1436.0"/>
        <n v="1556.0"/>
        <n v="1048.0"/>
        <n v="2278.0"/>
        <n v="754.0"/>
        <n v="1957.0"/>
        <n v="2147.0"/>
        <n v="1108.0"/>
        <n v="2214.0"/>
        <n v="3649.0"/>
        <n v="2704.0"/>
        <n v="1952.0"/>
        <n v="305.0"/>
        <n v="3239.0"/>
        <n v="1330.0"/>
        <n v="1076.0"/>
        <n v="4274.0"/>
        <n v="4886.0"/>
        <n v="3811.0"/>
        <n v="4750.0"/>
        <n v="3215.0"/>
        <n v="3801.0"/>
        <n v="2692.0"/>
        <n v="4000.0"/>
        <n v="3092.0"/>
        <n v="4671.0"/>
        <n v="571.0"/>
        <n v="4419.0"/>
        <n v="1575.0"/>
        <n v="4516.0"/>
        <n v="941.0"/>
        <n v="2164.0"/>
        <n v="3820.0"/>
        <n v="1238.0"/>
        <n v="4050.0"/>
        <n v="4858.0"/>
        <n v="2358.0"/>
        <n v="3592.0"/>
        <n v="1292.0"/>
        <n v="1082.0"/>
        <n v="1461.0"/>
        <n v="802.0"/>
        <n v="827.0"/>
        <n v="3791.0"/>
        <n v="929.0"/>
        <n v="1644.0"/>
        <n v="4494.0"/>
        <n v="3160.0"/>
        <n v="954.0"/>
        <n v="1121.0"/>
        <n v="2825.0"/>
        <n v="3535.0"/>
        <n v="1702.0"/>
        <n v="1950.0"/>
        <n v="4725.0"/>
        <n v="3731.0"/>
        <n v="3860.0"/>
        <n v="3577.0"/>
        <n v="4782.0"/>
        <n v="4187.0"/>
        <n v="2493.0"/>
        <n v="3338.0"/>
        <n v="3128.0"/>
        <n v="3440.0"/>
        <n v="3367.0"/>
        <n v="4672.0"/>
        <n v="4507.0"/>
        <n v="80.0"/>
        <n v="257.0"/>
        <n v="804.0"/>
        <n v="736.0"/>
        <n v="4661.0"/>
        <n v="4188.0"/>
        <n v="606.0"/>
        <n v="1543.0"/>
        <n v="3065.0"/>
        <n v="3389.0"/>
        <n v="3704.0"/>
        <n v="1686.0"/>
        <n v="1094.0"/>
        <n v="4934.0"/>
        <n v="1206.0"/>
        <n v="3655.0"/>
        <n v="4021.0"/>
        <n v="2754.0"/>
        <n v="1855.0"/>
        <n v="3138.0"/>
        <n v="3809.0"/>
        <n v="3874.0"/>
        <n v="2551.0"/>
        <n v="2283.0"/>
        <n v="4775.0"/>
        <n v="3929.0"/>
        <n v="4285.0"/>
        <n v="1018.0"/>
        <n v="3641.0"/>
        <n v="2746.0"/>
        <n v="1766.0"/>
        <n v="3711.0"/>
        <n v="3009.0"/>
        <n v="2936.0"/>
        <n v="296.0"/>
        <n v="2949.0"/>
        <n v="2509.0"/>
        <n v="2728.0"/>
        <n v="4350.0"/>
        <n v="4275.0"/>
        <n v="1171.0"/>
        <n v="2719.0"/>
        <n v="4450.0"/>
        <n v="4171.0"/>
        <n v="2076.0"/>
        <n v="2070.0"/>
        <n v="4780.0"/>
        <n v="3774.0"/>
        <n v="3557.0"/>
        <n v="3428.0"/>
        <n v="4929.0"/>
        <n v="4295.0"/>
        <n v="3166.0"/>
        <n v="4832.0"/>
        <n v="4905.0"/>
        <n v="1509.0"/>
        <n v="2143.0"/>
        <n v="1963.0"/>
        <n v="2795.0"/>
        <m/>
      </sharedItems>
    </cacheField>
    <cacheField name="Shares" numFmtId="4">
      <sharedItems containsString="0" containsBlank="1" containsNumber="1" containsInteger="1">
        <n v="772.0"/>
        <n v="594.0"/>
        <n v="126.0"/>
        <n v="158.0"/>
        <n v="711.0"/>
        <n v="680.0"/>
        <n v="928.0"/>
        <n v="94.0"/>
        <n v="116.0"/>
        <n v="550.0"/>
        <n v="453.0"/>
        <n v="190.0"/>
        <n v="173.0"/>
        <n v="930.0"/>
        <n v="925.0"/>
        <n v="874.0"/>
        <n v="831.0"/>
        <n v="111.0"/>
        <n v="476.0"/>
        <n v="338.0"/>
        <n v="78.0"/>
        <n v="555.0"/>
        <n v="517.0"/>
        <n v="148.0"/>
        <n v="47.0"/>
        <n v="19.0"/>
        <n v="498.0"/>
        <n v="686.0"/>
        <n v="941.0"/>
        <n v="400.0"/>
        <n v="726.0"/>
        <n v="297.0"/>
        <n v="824.0"/>
        <n v="514.0"/>
        <n v="266.0"/>
        <n v="653.0"/>
        <n v="134.0"/>
        <n v="640.0"/>
        <n v="48.0"/>
        <n v="511.0"/>
        <n v="119.0"/>
        <n v="808.0"/>
        <n v="851.0"/>
        <n v="566.0"/>
        <n v="51.0"/>
        <n v="628.0"/>
        <n v="252.0"/>
        <n v="248.0"/>
        <n v="187.0"/>
        <n v="714.0"/>
        <n v="697.0"/>
        <n v="397.0"/>
        <n v="504.0"/>
        <n v="17.0"/>
        <n v="547.0"/>
        <n v="465.0"/>
        <n v="377.0"/>
        <n v="667.0"/>
        <n v="106.0"/>
        <n v="754.0"/>
        <n v="935.0"/>
        <n v="33.0"/>
        <n v="265.0"/>
        <n v="553.0"/>
        <n v="525.0"/>
        <n v="629.0"/>
        <n v="761.0"/>
        <n v="902.0"/>
        <n v="145.0"/>
        <n v="532.0"/>
        <n v="89.0"/>
        <n v="652.0"/>
        <n v="253.0"/>
        <n v="426.0"/>
        <n v="568.0"/>
        <n v="931.0"/>
        <n v="385.0"/>
        <n v="604.0"/>
        <n v="451.0"/>
        <n v="31.0"/>
        <n v="897.0"/>
        <n v="770.0"/>
        <n v="643.0"/>
        <n v="784.0"/>
        <n v="746.0"/>
        <n v="701.0"/>
        <n v="932.0"/>
        <n v="675.0"/>
        <n v="616.0"/>
        <n v="590.0"/>
        <n v="153.0"/>
        <n v="951.0"/>
        <n v="690.0"/>
        <n v="164.0"/>
        <n v="649.0"/>
        <n v="375.0"/>
        <n v="658.0"/>
        <n v="118.0"/>
        <n v="749.0"/>
        <n v="888.0"/>
        <n v="695.0"/>
        <n v="466.0"/>
        <n v="569.0"/>
        <n v="624.0"/>
        <n v="304.0"/>
        <n v="973.0"/>
        <n v="459.0"/>
        <n v="363.0"/>
        <n v="464.0"/>
        <n v="414.0"/>
        <n v="842.0"/>
        <n v="694.0"/>
        <n v="38.0"/>
        <n v="623.0"/>
        <n v="753.0"/>
        <n v="929.0"/>
        <n v="501.0"/>
        <n v="16.0"/>
        <n v="796.0"/>
        <n v="614.0"/>
        <n v="405.0"/>
        <n v="149.0"/>
        <n v="59.0"/>
        <n v="417.0"/>
        <n v="382.0"/>
        <n v="519.0"/>
        <n v="167.0"/>
        <n v="818.0"/>
        <n v="61.0"/>
        <n v="29.0"/>
        <n v="263.0"/>
        <n v="137.0"/>
        <n v="771.0"/>
        <n v="527.0"/>
        <n v="376.0"/>
        <n v="821.0"/>
        <n v="88.0"/>
        <n v="125.0"/>
        <n v="837.0"/>
        <n v="869.0"/>
        <n v="892.0"/>
        <n v="285.0"/>
        <n v="960.0"/>
        <n v="559.0"/>
        <n v="917.0"/>
        <n v="488.0"/>
        <n v="39.0"/>
        <n v="299.0"/>
        <n v="62.0"/>
        <n v="592.0"/>
        <n v="81.0"/>
        <n v="163.0"/>
        <n v="978.0"/>
        <n v="171.0"/>
        <n v="470.0"/>
        <n v="745.0"/>
        <n v="354.0"/>
        <n v="857.0"/>
        <n v="765.0"/>
        <n v="195.0"/>
        <n v="374.0"/>
        <n v="10.0"/>
        <n v="197.0"/>
        <n v="877.0"/>
        <n v="430.0"/>
        <n v="177.0"/>
        <n v="249.0"/>
        <n v="215.0"/>
        <n v="752.0"/>
        <n v="344.0"/>
        <n v="43.0"/>
        <n v="313.0"/>
        <n v="340.0"/>
        <n v="983.0"/>
        <n v="866.0"/>
        <n v="151.0"/>
        <n v="967.0"/>
        <n v="115.0"/>
        <n v="689.0"/>
        <n v="876.0"/>
        <n v="236.0"/>
        <n v="836.0"/>
        <n v="121.0"/>
        <n v="549.0"/>
        <n v="366.0"/>
        <n v="871.0"/>
        <n v="317.0"/>
        <n v="911.0"/>
        <n v="626.0"/>
        <n v="209.0"/>
        <n v="184.0"/>
        <n v="262.0"/>
        <n v="77.0"/>
        <n v="593.0"/>
        <n v="192.0"/>
        <n v="546.0"/>
        <n v="717.0"/>
        <n v="204.0"/>
        <n v="324.0"/>
        <n v="135.0"/>
        <n v="535.0"/>
        <n v="494.0"/>
        <n v="750.0"/>
        <n v="389.0"/>
        <n v="295.0"/>
        <n v="201.0"/>
        <n v="596.0"/>
        <n v="721.0"/>
        <n v="66.0"/>
        <n v="97.0"/>
        <n v="277.0"/>
        <n v="211.0"/>
        <n v="13.0"/>
        <n v="302.0"/>
        <n v="325.0"/>
        <n v="217.0"/>
        <n v="362.0"/>
        <n v="966.0"/>
        <n v="639.0"/>
        <n v="942.0"/>
        <n v="789.0"/>
        <n v="820.0"/>
        <n v="186.0"/>
        <n v="904.0"/>
        <n v="472.0"/>
        <n v="971.0"/>
        <n v="238.0"/>
        <n v="794.0"/>
        <n v="130.0"/>
        <n v="200.0"/>
        <n v="123.0"/>
        <n v="273.0"/>
        <n v="884.0"/>
        <n v="915.0"/>
        <n v="210.0"/>
        <n v="886.0"/>
        <n v="447.0"/>
        <n v="226.0"/>
        <n v="156.0"/>
        <n v="92.0"/>
        <n v="352.0"/>
        <n v="413.0"/>
        <n v="439.0"/>
        <n v="60.0"/>
        <n v="533.0"/>
        <n v="286.0"/>
        <n v="548.0"/>
        <n v="275.0"/>
        <n v="691.0"/>
        <n v="239.0"/>
        <n v="687.0"/>
        <n v="305.0"/>
        <n v="853.0"/>
        <n v="90.0"/>
        <n v="893.0"/>
        <n v="845.0"/>
        <n v="12.0"/>
        <n v="213.0"/>
        <n v="105.0"/>
        <m/>
      </sharedItems>
    </cacheField>
    <cacheField name="Comments" numFmtId="4">
      <sharedItems containsString="0" containsBlank="1" containsNumber="1" containsInteger="1">
        <n v="400.0"/>
        <n v="156.0"/>
        <n v="153.0"/>
        <n v="149.0"/>
        <n v="298.0"/>
        <n v="434.0"/>
        <n v="301.0"/>
        <n v="488.0"/>
        <n v="37.0"/>
        <n v="420.0"/>
        <n v="270.0"/>
        <n v="490.0"/>
        <n v="340.0"/>
        <n v="276.0"/>
        <n v="355.0"/>
        <n v="350.0"/>
        <n v="172.0"/>
        <n v="345.0"/>
        <n v="69.0"/>
        <n v="485.0"/>
        <n v="131.0"/>
        <n v="117.0"/>
        <n v="253.0"/>
        <n v="430.0"/>
        <n v="351.0"/>
        <n v="367.0"/>
        <n v="377.0"/>
        <n v="376.0"/>
        <n v="241.0"/>
        <n v="99.0"/>
        <n v="238.0"/>
        <n v="8.0"/>
        <n v="363.0"/>
        <n v="482.0"/>
        <n v="403.0"/>
        <n v="240.0"/>
        <n v="306.0"/>
        <n v="70.0"/>
        <n v="7.0"/>
        <n v="404.0"/>
        <n v="342.0"/>
        <n v="164.0"/>
        <n v="392.0"/>
        <n v="443.0"/>
        <n v="335.0"/>
        <n v="416.0"/>
        <n v="260.0"/>
        <n v="207.0"/>
        <n v="357.0"/>
        <n v="239.0"/>
        <n v="295.0"/>
        <n v="316.0"/>
        <n v="360.0"/>
        <n v="395.0"/>
        <n v="327.0"/>
        <n v="54.0"/>
        <n v="274.0"/>
        <n v="134.0"/>
        <n v="174.0"/>
        <n v="500.0"/>
        <n v="177.0"/>
        <n v="176.0"/>
        <n v="47.0"/>
        <n v="225.0"/>
        <n v="71.0"/>
        <n v="442.0"/>
        <n v="486.0"/>
        <n v="127.0"/>
        <n v="230.0"/>
        <n v="310.0"/>
        <n v="128.0"/>
        <n v="286.0"/>
        <n v="279.0"/>
        <n v="85.0"/>
        <n v="19.0"/>
        <n v="136.0"/>
        <n v="183.0"/>
        <n v="315.0"/>
        <n v="412.0"/>
        <n v="287.0"/>
        <n v="478.0"/>
        <n v="324.0"/>
        <n v="432.0"/>
        <n v="393.0"/>
        <n v="275.0"/>
        <n v="26.0"/>
        <n v="205.0"/>
        <n v="318.0"/>
        <n v="140.0"/>
        <n v="323.0"/>
        <n v="441.0"/>
        <n v="15.0"/>
        <n v="111.0"/>
        <n v="444.0"/>
        <n v="75.0"/>
        <n v="288.0"/>
        <n v="55.0"/>
        <n v="428.0"/>
        <n v="123.0"/>
        <n v="170.0"/>
        <n v="63.0"/>
        <n v="266.0"/>
        <n v="138.0"/>
        <n v="394.0"/>
        <n v="246.0"/>
        <n v="101.0"/>
        <n v="289.0"/>
        <n v="211.0"/>
        <n v="42.0"/>
        <n v="72.0"/>
        <n v="387.0"/>
        <n v="497.0"/>
        <n v="423.0"/>
        <n v="130.0"/>
        <n v="168.0"/>
        <n v="325.0"/>
        <n v="22.0"/>
        <n v="56.0"/>
        <n v="157.0"/>
        <n v="41.0"/>
        <n v="171.0"/>
        <n v="329.0"/>
        <n v="219.0"/>
        <n v="135.0"/>
        <n v="33.0"/>
        <n v="499.0"/>
        <n v="300.0"/>
        <n v="349.0"/>
        <n v="320.0"/>
        <n v="103.0"/>
        <n v="383.0"/>
        <n v="160.0"/>
        <n v="129.0"/>
        <n v="373.0"/>
        <n v="78.0"/>
        <n v="38.0"/>
        <n v="179.0"/>
        <n v="379.0"/>
        <n v="93.0"/>
        <n v="162.0"/>
        <n v="280.0"/>
        <n v="496.0"/>
        <n v="450.0"/>
        <n v="321.0"/>
        <n v="212.0"/>
        <n v="257.0"/>
        <n v="152.0"/>
        <n v="413.0"/>
        <n v="243.0"/>
        <n v="35.0"/>
        <n v="281.0"/>
        <n v="409.0"/>
        <n v="216.0"/>
        <n v="415.0"/>
        <n v="202.0"/>
        <n v="401.0"/>
        <n v="64.0"/>
        <n v="291.0"/>
        <n v="405.0"/>
        <n v="366.0"/>
        <n v="352.0"/>
        <n v="369.0"/>
        <n v="169.0"/>
        <n v="458.0"/>
        <n v="268.0"/>
        <n v="347.0"/>
        <n v="344.0"/>
        <n v="375.0"/>
        <n v="484.0"/>
        <n v="244.0"/>
        <n v="402.0"/>
        <n v="228.0"/>
        <n v="322.0"/>
        <n v="150.0"/>
        <n v="45.0"/>
        <n v="297.0"/>
        <n v="18.0"/>
        <n v="493.0"/>
        <n v="362.0"/>
        <n v="82.0"/>
        <n v="31.0"/>
        <n v="44.0"/>
        <n v="118.0"/>
        <n v="197.0"/>
        <n v="20.0"/>
        <n v="57.0"/>
        <n v="32.0"/>
        <n v="13.0"/>
        <n v="80.0"/>
        <n v="398.0"/>
        <n v="43.0"/>
        <n v="433.0"/>
        <n v="470.0"/>
        <n v="333.0"/>
        <n v="142.0"/>
        <n v="229.0"/>
        <n v="472.0"/>
        <n v="21.0"/>
        <n v="36.0"/>
        <n v="77.0"/>
        <n v="90.0"/>
        <n v="200.0"/>
        <n v="206.0"/>
        <n v="278.0"/>
        <n v="332.0"/>
        <n v="46.0"/>
        <n v="203.0"/>
        <n v="424.0"/>
        <n v="290.0"/>
        <n v="358.0"/>
        <n v="141.0"/>
        <n v="215.0"/>
        <n v="385.0"/>
        <n v="231.0"/>
        <n v="285.0"/>
        <n v="143.0"/>
        <n v="86.0"/>
        <n v="104.0"/>
        <n v="386.0"/>
        <n v="380.0"/>
        <n v="39.0"/>
        <n v="452.0"/>
        <n v="341.0"/>
        <n v="10.0"/>
        <n v="163.0"/>
        <n v="204.0"/>
        <n v="49.0"/>
        <m/>
      </sharedItems>
    </cacheField>
    <cacheField name="Impressions" numFmtId="4">
      <sharedItems containsString="0" containsBlank="1" containsNumber="1" containsInteger="1">
        <n v="3582.0"/>
        <n v="4214.0"/>
        <n v="4430.0"/>
        <n v="3372.0"/>
        <n v="21180.0"/>
        <n v="6400.0"/>
        <n v="8580.0"/>
        <n v="12720.0"/>
        <n v="15040.0"/>
        <n v="8743.0"/>
        <n v="28824.0"/>
        <n v="14952.0"/>
        <n v="28602.0"/>
        <n v="28386.0"/>
        <n v="23560.0"/>
        <n v="24192.0"/>
        <n v="30247.0"/>
        <n v="17410.0"/>
        <n v="31171.0"/>
        <n v="16712.0"/>
        <n v="10417.0"/>
        <n v="18328.0"/>
        <n v="33936.0"/>
        <n v="23229.0"/>
        <n v="30624.0"/>
        <n v="5738.0"/>
        <n v="12570.0"/>
        <n v="29460.0"/>
        <n v="23352.0"/>
        <n v="35156.0"/>
        <n v="16884.0"/>
        <n v="28974.0"/>
        <n v="12320.0"/>
        <n v="41340.0"/>
        <n v="37670.0"/>
        <n v="35640.0"/>
        <n v="25396.0"/>
        <n v="43576.0"/>
        <n v="51579.0"/>
        <n v="50184.0"/>
        <n v="40579.0"/>
        <n v="53292.0"/>
        <n v="14712.0"/>
        <n v="56760.0"/>
        <n v="34979.0"/>
        <n v="48020.0"/>
        <n v="55796.0"/>
        <n v="45832.0"/>
        <n v="29936.0"/>
        <n v="43170.0"/>
        <n v="25120.0"/>
        <n v="68265.0"/>
        <n v="49440.0"/>
        <n v="25260.0"/>
        <n v="37400.0"/>
        <n v="51282.0"/>
        <n v="32120.0"/>
        <n v="24168.0"/>
        <n v="55232.0"/>
        <n v="64532.0"/>
        <n v="50565.0"/>
        <n v="43524.0"/>
        <n v="68634.0"/>
        <n v="44016.0"/>
        <n v="38112.0"/>
        <n v="52241.0"/>
        <n v="60480.0"/>
        <n v="60588.0"/>
        <n v="82824.0"/>
        <n v="67337.0"/>
        <n v="72097.0"/>
        <n v="69945.0"/>
        <n v="37296.0"/>
        <n v="29736.0"/>
        <n v="65588.0"/>
        <n v="75834.0"/>
        <n v="78394.0"/>
        <n v="84816.0"/>
        <n v="92120.0"/>
        <n v="70642.0"/>
        <n v="77760.0"/>
        <n v="86060.0"/>
        <n v="75960.0"/>
        <n v="588.0"/>
        <n v="1030.0"/>
        <n v="1290.0"/>
        <n v="1704.0"/>
        <n v="4168.0"/>
        <n v="4980.0"/>
        <n v="6895.0"/>
        <n v="9850.0"/>
        <n v="6984.0"/>
        <n v="11170.0"/>
        <n v="4680.0"/>
        <n v="3066.0"/>
        <n v="8586.0"/>
        <n v="13015.0"/>
        <n v="8705.0"/>
        <n v="21815.0"/>
        <n v="22505.0"/>
        <n v="22805.0"/>
        <n v="13044.0"/>
        <n v="12830.0"/>
        <n v="21450.0"/>
        <n v="21938.0"/>
        <n v="21606.0"/>
        <n v="24798.0"/>
        <n v="15660.0"/>
        <n v="25062.0"/>
        <n v="8208.0"/>
        <n v="6912.0"/>
        <n v="18529.0"/>
        <n v="11752.0"/>
        <n v="26048.0"/>
        <n v="19232.0"/>
        <n v="14112.0"/>
        <n v="39528.0"/>
        <n v="11882.0"/>
        <n v="21417.0"/>
        <n v="43191.0"/>
        <n v="43560.0"/>
        <n v="4482.0"/>
        <n v="19943.0"/>
        <n v="38753.0"/>
        <n v="21762.0"/>
        <n v="20691.0"/>
        <n v="33975.0"/>
        <n v="22032.0"/>
        <n v="25088.0"/>
        <n v="22906.0"/>
        <n v="4674.0"/>
        <n v="35590.0"/>
        <n v="19344.0"/>
        <n v="36000.0"/>
        <n v="16065.0"/>
        <n v="45738.0"/>
        <n v="57252.0"/>
        <n v="49753.0"/>
        <n v="19976.0"/>
        <n v="30520.0"/>
        <n v="43386.0"/>
        <n v="39884.0"/>
        <n v="60648.0"/>
        <n v="61607.0"/>
        <n v="69285.0"/>
        <n v="14500.0"/>
        <n v="59527.0"/>
        <n v="35819.0"/>
        <n v="72795.0"/>
        <n v="72120.0"/>
        <n v="54912.0"/>
        <n v="39957.0"/>
        <n v="72570.0"/>
        <n v="67770.0"/>
        <n v="69498.0"/>
        <n v="57276.0"/>
        <n v="71630.0"/>
        <n v="77026.0"/>
        <n v="55710.0"/>
        <n v="71687.0"/>
        <n v="37560.0"/>
        <n v="1494.0"/>
        <n v="954.0"/>
        <n v="590.0"/>
        <n v="6000.0"/>
        <n v="3024.0"/>
        <n v="7128.0"/>
        <n v="11262.0"/>
        <n v="10830.0"/>
        <n v="19020.0"/>
        <n v="12924.0"/>
        <n v="9336.0"/>
        <n v="9432.0"/>
        <n v="13668.0"/>
        <n v="6786.0"/>
        <n v="17613.0"/>
        <n v="17176.0"/>
        <n v="8864.0"/>
        <n v="15498.0"/>
        <n v="25543.0"/>
        <n v="21632.0"/>
        <n v="15616.0"/>
        <n v="4575.0"/>
        <n v="22673.0"/>
        <n v="15960.0"/>
        <n v="11836.0"/>
        <n v="34192.0"/>
        <n v="43974.0"/>
        <n v="34299.0"/>
        <n v="38000.0"/>
        <n v="32150.0"/>
        <n v="38010.0"/>
        <n v="21536.0"/>
        <n v="40000.0"/>
        <n v="27828.0"/>
        <n v="20878.0"/>
        <n v="51381.0"/>
        <n v="9707.0"/>
        <n v="44190.0"/>
        <n v="25200.0"/>
        <n v="49676.0"/>
        <n v="14115.0"/>
        <n v="28132.0"/>
        <n v="45840.0"/>
        <n v="19808.0"/>
        <n v="52650.0"/>
        <n v="53438.0"/>
        <n v="35370.0"/>
        <n v="50288.0"/>
        <n v="25840.0"/>
        <n v="19476.0"/>
        <n v="21915.0"/>
        <n v="14436.0"/>
        <n v="14886.0"/>
        <n v="53074.0"/>
        <n v="16722.0"/>
        <n v="27948.0"/>
        <n v="62916.0"/>
        <n v="44240.0"/>
        <n v="19080.0"/>
        <n v="15694.0"/>
        <n v="45200.0"/>
        <n v="53025.0"/>
        <n v="34040.0"/>
        <n v="64864.0"/>
        <n v="37050.0"/>
        <n v="75600.0"/>
        <n v="55965.0"/>
        <n v="61760.0"/>
        <n v="67963.0"/>
        <n v="86076.0"/>
        <n v="66992.0"/>
        <n v="42381.0"/>
        <n v="60084.0"/>
        <n v="59432.0"/>
        <n v="58480.0"/>
        <n v="63973.0"/>
        <n v="88768.0"/>
        <n v="90140.0"/>
        <n v="1040.0"/>
        <n v="3341.0"/>
        <n v="4020.0"/>
        <n v="5152.0"/>
        <n v="23305.0"/>
        <n v="20940.0"/>
        <n v="7878.0"/>
        <n v="12344.0"/>
        <n v="18390.0"/>
        <n v="20334.0"/>
        <n v="25928.0"/>
        <n v="18546.0"/>
        <n v="9846.0"/>
        <n v="39472.0"/>
        <n v="9648.0"/>
        <n v="32895.0"/>
        <n v="36189.0"/>
        <n v="16695.0"/>
        <n v="28242.0"/>
        <n v="34281.0"/>
        <n v="38740.0"/>
        <n v="30612.0"/>
        <n v="22830.0"/>
        <n v="47750.0"/>
        <n v="43219.0"/>
        <n v="55705.0"/>
        <n v="18324.0"/>
        <n v="40051.0"/>
        <n v="32952.0"/>
        <n v="24724.0"/>
        <n v="48243.0"/>
        <n v="42126.0"/>
        <n v="38168.0"/>
        <n v="5624.0"/>
        <n v="44235.0"/>
        <n v="35126.0"/>
        <n v="40920.0"/>
        <n v="60900.0"/>
        <n v="64125.0"/>
        <n v="22249.0"/>
        <n v="40785.0"/>
        <n v="75650.0"/>
        <n v="66736.0"/>
        <n v="33216.0"/>
        <n v="39330.0"/>
        <n v="86040.0"/>
        <n v="60384.0"/>
        <n v="71140.0"/>
        <n v="58276.0"/>
        <n v="93651.0"/>
        <n v="85900.0"/>
        <n v="56988.0"/>
        <n v="91808.0"/>
        <n v="98100.0"/>
        <n v="30180.0"/>
        <n v="40717.0"/>
        <n v="39260.0"/>
        <n v="53105.0"/>
        <m/>
      </sharedItems>
    </cacheField>
    <cacheField name="Reach" numFmtId="4">
      <sharedItems containsString="0" containsBlank="1" containsNumber="1" containsInteger="1">
        <n v="2988.0"/>
        <n v="3363.0"/>
        <n v="4037.0"/>
        <n v="2940.0"/>
        <n v="20516.0"/>
        <n v="5472.0"/>
        <n v="8081.0"/>
        <n v="12085.0"/>
        <n v="14639.0"/>
        <n v="8538.0"/>
        <n v="28370.0"/>
        <n v="14309.0"/>
        <n v="28044.0"/>
        <n v="28185.0"/>
        <n v="23275.0"/>
        <n v="23518.0"/>
        <n v="29254.0"/>
        <n v="16844.0"/>
        <n v="30565.0"/>
        <n v="16309.0"/>
        <n v="9730.0"/>
        <n v="18101.0"/>
        <n v="33802.0"/>
        <n v="22331.0"/>
        <n v="30229.0"/>
        <n v="4890.0"/>
        <n v="11660.0"/>
        <n v="28527.0"/>
        <n v="22982.0"/>
        <n v="34444.0"/>
        <n v="15954.0"/>
        <n v="28102.0"/>
        <n v="11978.0"/>
        <n v="41050.0"/>
        <n v="36807.0"/>
        <n v="34850.0"/>
        <n v="25286.0"/>
        <n v="43338.0"/>
        <n v="50924.0"/>
        <n v="49351.0"/>
        <n v="39588.0"/>
        <n v="53082.0"/>
        <n v="14049.0"/>
        <n v="56343.0"/>
        <n v="34154.0"/>
        <n v="47305.0"/>
        <n v="54826.0"/>
        <n v="45632.0"/>
        <n v="29576.0"/>
        <n v="42667.0"/>
        <n v="24613.0"/>
        <n v="67754.0"/>
        <n v="48524.0"/>
        <n v="24615.0"/>
        <n v="36938.0"/>
        <n v="50567.0"/>
        <n v="31736.0"/>
        <n v="23719.0"/>
        <n v="55075.0"/>
        <n v="63550.0"/>
        <n v="49816.0"/>
        <n v="42743.0"/>
        <n v="68488.0"/>
        <n v="43415.0"/>
        <n v="37437.0"/>
        <n v="51605.0"/>
        <n v="59610.0"/>
        <n v="59627.0"/>
        <n v="82543.0"/>
        <n v="66615.0"/>
        <n v="71598.0"/>
        <n v="69596.0"/>
        <n v="36467.0"/>
        <n v="28771.0"/>
        <n v="65049.0"/>
        <n v="75437.0"/>
        <n v="77798.0"/>
        <n v="84691.0"/>
        <n v="91440.0"/>
        <n v="69749.0"/>
        <n v="77167.0"/>
        <n v="85823.0"/>
        <n v="75813.0"/>
        <n v="8.0"/>
        <n v="410.0"/>
        <n v="839.0"/>
        <n v="995.0"/>
        <n v="3399.0"/>
        <n v="4185.0"/>
        <n v="6757.0"/>
        <n v="8924.0"/>
        <n v="6636.0"/>
        <n v="10569.0"/>
        <n v="4322.0"/>
        <n v="2701.0"/>
        <n v="8396.0"/>
        <n v="12130.0"/>
        <n v="8272.0"/>
        <n v="21481.0"/>
        <n v="21836.0"/>
        <n v="21890.0"/>
        <n v="12206.0"/>
        <n v="12264.0"/>
        <n v="20785.0"/>
        <n v="21337.0"/>
        <n v="21454.0"/>
        <n v="24620.0"/>
        <n v="15145.0"/>
        <n v="24847.0"/>
        <n v="7377.0"/>
        <n v="6259.0"/>
        <n v="17841.0"/>
        <n v="11580.0"/>
        <n v="25529.0"/>
        <n v="18636.0"/>
        <n v="13588.0"/>
        <n v="39154.0"/>
        <n v="11500.0"/>
        <n v="20967.0"/>
        <n v="42228.0"/>
        <n v="43225.0"/>
        <n v="3647.0"/>
        <n v="18959.0"/>
        <n v="38579.0"/>
        <n v="20998.0"/>
        <n v="19987.0"/>
        <n v="33310.0"/>
        <n v="21869.0"/>
        <n v="24675.0"/>
        <n v="21925.0"/>
        <n v="4390.0"/>
        <n v="35105.0"/>
        <n v="18395.0"/>
        <n v="35819.0"/>
        <n v="15865.0"/>
        <n v="45183.0"/>
        <n v="56378.0"/>
        <n v="49329.0"/>
        <n v="19262.0"/>
        <n v="30059.0"/>
        <n v="42921.0"/>
        <n v="39404.0"/>
        <n v="60397.0"/>
        <n v="61333.0"/>
        <n v="20509.0"/>
        <n v="69141.0"/>
        <n v="13637.0"/>
        <n v="59400.0"/>
        <n v="35340.0"/>
        <n v="72237.0"/>
        <n v="71696.0"/>
        <n v="53916.0"/>
        <n v="39466.0"/>
        <n v="72396.0"/>
        <n v="67621.0"/>
        <n v="68817.0"/>
        <n v="56890.0"/>
        <n v="71322.0"/>
        <n v="76881.0"/>
        <n v="54808.0"/>
        <n v="71447.0"/>
        <n v="36874.0"/>
        <n v="1044.0"/>
        <n v="7.0"/>
        <n v="475.0"/>
        <n v="5221.0"/>
        <n v="2285.0"/>
        <n v="6145.0"/>
        <n v="10967.0"/>
        <n v="10245.0"/>
        <n v="18559.0"/>
        <n v="12701.0"/>
        <n v="8875.0"/>
        <n v="8882.0"/>
        <n v="12676.0"/>
        <n v="12564.0"/>
        <n v="6221.0"/>
        <n v="16865.0"/>
        <n v="16483.0"/>
        <n v="8710.0"/>
        <n v="14800.0"/>
        <n v="24963.0"/>
        <n v="20792.0"/>
        <n v="15403.0"/>
        <n v="3704.0"/>
        <n v="22171.0"/>
        <n v="15379.0"/>
        <n v="11596.0"/>
        <n v="33446.0"/>
        <n v="43239.0"/>
        <n v="34088.0"/>
        <n v="37792.0"/>
        <n v="31404.0"/>
        <n v="37625.0"/>
        <n v="21120.0"/>
        <n v="39569.0"/>
        <n v="27217.0"/>
        <n v="20190.0"/>
        <n v="50565.0"/>
        <n v="9418.0"/>
        <n v="43582.0"/>
        <n v="24826.0"/>
        <n v="49257.0"/>
        <n v="13838.0"/>
        <n v="27361.0"/>
        <n v="45631.0"/>
        <n v="19334.0"/>
        <n v="51755.0"/>
        <n v="52687.0"/>
        <n v="34475.0"/>
        <n v="49490.0"/>
        <n v="24916.0"/>
        <n v="18654.0"/>
        <n v="21675.0"/>
        <n v="14280.0"/>
        <n v="14129.0"/>
        <n v="52613.0"/>
        <n v="15996.0"/>
        <n v="27184.0"/>
        <n v="62688.0"/>
        <n v="43666.0"/>
        <n v="18859.0"/>
        <n v="14957.0"/>
        <n v="44739.0"/>
        <n v="52791.0"/>
        <n v="33174.0"/>
        <n v="64383.0"/>
        <n v="36272.0"/>
        <n v="74927.0"/>
        <n v="55436.0"/>
        <n v="61660.0"/>
        <n v="67839.0"/>
        <n v="85339.0"/>
        <n v="66614.0"/>
        <n v="41991.0"/>
        <n v="59842.0"/>
        <n v="59182.0"/>
        <n v="58146.0"/>
        <n v="63789.0"/>
        <n v="87833.0"/>
        <n v="89591.0"/>
        <n v="349.0"/>
        <n v="2753.0"/>
        <n v="3144.0"/>
        <n v="4706.0"/>
        <n v="22583.0"/>
        <n v="20471.0"/>
        <n v="7389.0"/>
        <n v="11496.0"/>
        <n v="17875.0"/>
        <n v="19443.0"/>
        <n v="25081.0"/>
        <n v="18171.0"/>
        <n v="9609.0"/>
        <n v="39025.0"/>
        <n v="9417.0"/>
        <n v="32015.0"/>
        <n v="35505.0"/>
        <n v="21288.0"/>
        <n v="16330.0"/>
        <n v="27550.0"/>
        <n v="33534.0"/>
        <n v="38552.0"/>
        <n v="30360.0"/>
        <n v="22617.0"/>
        <n v="47544.0"/>
        <n v="42841.0"/>
        <n v="55556.0"/>
        <n v="18164.0"/>
        <n v="39319.0"/>
        <n v="32147.0"/>
        <n v="24333.0"/>
        <n v="47579.0"/>
        <n v="41309.0"/>
        <n v="37571.0"/>
        <n v="5239.0"/>
        <n v="43705.0"/>
        <n v="34685.0"/>
        <n v="40816.0"/>
        <n v="60592.0"/>
        <n v="63650.0"/>
        <n v="21282.0"/>
        <n v="40281.0"/>
        <n v="75008.0"/>
        <n v="66634.0"/>
        <n v="32244.0"/>
        <n v="38627.0"/>
        <n v="85743.0"/>
        <n v="59490.0"/>
        <n v="70701.0"/>
        <n v="58052.0"/>
        <n v="92810.0"/>
        <n v="85788.0"/>
        <n v="56125.0"/>
        <n v="91296.0"/>
        <n v="97772.0"/>
        <n v="29689.0"/>
        <n v="40125.0"/>
        <n v="38771.0"/>
        <n v="52307.0"/>
        <m/>
      </sharedItems>
    </cacheField>
    <cacheField name="Clicks" numFmtId="4">
      <sharedItems containsString="0" containsBlank="1" containsNumber="1" containsInteger="1">
        <n v="43.0"/>
        <n v="164.0"/>
        <n v="212.0"/>
        <n v="93.0"/>
        <n v="238.0"/>
        <n v="160.0"/>
        <n v="91.0"/>
        <n v="17.0"/>
        <n v="277.0"/>
        <n v="63.0"/>
        <n v="47.0"/>
        <n v="275.0"/>
        <n v="210.0"/>
        <n v="89.0"/>
        <n v="256.0"/>
        <n v="36.0"/>
        <n v="122.0"/>
        <n v="58.0"/>
        <n v="23.0"/>
        <n v="64.0"/>
        <n v="34.0"/>
        <n v="10.0"/>
        <n v="265.0"/>
        <n v="70.0"/>
        <n v="235.0"/>
        <n v="25.0"/>
        <n v="194.0"/>
        <n v="60.0"/>
        <n v="213.0"/>
        <n v="241.0"/>
        <n v="113.0"/>
        <n v="177.0"/>
        <n v="226.0"/>
        <n v="208.0"/>
        <n v="39.0"/>
        <n v="240.0"/>
        <n v="173.0"/>
        <n v="159.0"/>
        <n v="123.0"/>
        <n v="131.0"/>
        <n v="255.0"/>
        <n v="120.0"/>
        <n v="264.0"/>
        <n v="248.0"/>
        <n v="288.0"/>
        <n v="75.0"/>
        <n v="133.0"/>
        <n v="57.0"/>
        <n v="137.0"/>
        <n v="225.0"/>
        <n v="84.0"/>
        <n v="42.0"/>
        <n v="87.0"/>
        <n v="292.0"/>
        <n v="176.0"/>
        <n v="182.0"/>
        <n v="251.0"/>
        <n v="129.0"/>
        <n v="249.0"/>
        <n v="246.0"/>
        <n v="192.0"/>
        <n v="92.0"/>
        <n v="161.0"/>
        <n v="167.0"/>
        <n v="35.0"/>
        <n v="215.0"/>
        <n v="158.0"/>
        <n v="272.0"/>
        <n v="88.0"/>
        <n v="100.0"/>
        <n v="56.0"/>
        <n v="233.0"/>
        <n v="20.0"/>
        <n v="14.0"/>
        <n v="266.0"/>
        <n v="12.0"/>
        <n v="262.0"/>
        <n v="154.0"/>
        <n v="282.0"/>
        <n v="185.0"/>
        <n v="117.0"/>
        <n v="82.0"/>
        <n v="198.0"/>
        <n v="150.0"/>
        <n v="121.0"/>
        <n v="157.0"/>
        <n v="132.0"/>
        <n v="45.0"/>
        <n v="221.0"/>
        <n v="195.0"/>
        <n v="130.0"/>
        <n v="172.0"/>
        <n v="73.0"/>
        <n v="230.0"/>
        <n v="205.0"/>
        <n v="79.0"/>
        <n v="46.0"/>
        <n v="143.0"/>
        <n v="128.0"/>
        <n v="217.0"/>
        <n v="186.0"/>
        <n v="118.0"/>
        <n v="32.0"/>
        <n v="85.0"/>
        <n v="270.0"/>
        <n v="289.0"/>
        <n v="271.0"/>
        <n v="189.0"/>
        <n v="65.0"/>
        <n v="30.0"/>
        <n v="19.0"/>
        <n v="103.0"/>
        <n v="142.0"/>
        <n v="71.0"/>
        <n v="283.0"/>
        <n v="174.0"/>
        <n v="52.0"/>
        <n v="298.0"/>
        <n v="200.0"/>
        <n v="269.0"/>
        <n v="191.0"/>
        <n v="170.0"/>
        <n v="28.0"/>
        <n v="83.0"/>
        <n v="31.0"/>
        <n v="297.0"/>
        <n v="163.0"/>
        <n v="76.0"/>
        <n v="286.0"/>
        <n v="201.0"/>
        <n v="148.0"/>
        <n v="293.0"/>
        <n v="223.0"/>
        <n v="184.0"/>
        <n v="41.0"/>
        <n v="24.0"/>
        <n v="197.0"/>
        <n v="21.0"/>
        <n v="97.0"/>
        <n v="180.0"/>
        <n v="127.0"/>
        <n v="234.0"/>
        <n v="229.0"/>
        <n v="104.0"/>
        <n v="299.0"/>
        <n v="236.0"/>
        <n v="224.0"/>
        <n v="44.0"/>
        <n v="102.0"/>
        <n v="219.0"/>
        <n v="245.0"/>
        <n v="231.0"/>
        <n v="171.0"/>
        <n v="209.0"/>
        <n v="216.0"/>
        <n v="149.0"/>
        <n v="15.0"/>
        <n v="49.0"/>
        <n v="254.0"/>
        <n v="145.0"/>
        <n v="300.0"/>
        <n v="99.0"/>
        <n v="169.0"/>
        <n v="119.0"/>
        <n v="53.0"/>
        <n v="62.0"/>
        <n v="242.0"/>
        <n v="252.0"/>
        <n v="125.0"/>
        <n v="287.0"/>
        <n v="11.0"/>
        <n v="239.0"/>
        <n v="228.0"/>
        <n v="112.0"/>
        <n v="237.0"/>
        <n v="199.0"/>
        <n v="227.0"/>
        <n v="187.0"/>
        <n v="51.0"/>
        <n v="38.0"/>
        <n v="296.0"/>
        <n v="147.0"/>
        <n v="211.0"/>
        <n v="22.0"/>
        <n v="135.0"/>
        <n v="114.0"/>
        <n v="40.0"/>
        <n v="66.0"/>
        <n v="290.0"/>
        <n v="279.0"/>
        <n v="204.0"/>
        <m/>
      </sharedItems>
    </cacheField>
    <cacheField name="Hashtag_Clean_1" numFmtId="0">
      <sharedItems containsBlank="1">
        <s v="PepsiCoRefresh"/>
        <s v="ThirstyForMore"/>
        <s v="LiveForNow"/>
        <m/>
      </sharedItems>
    </cacheField>
    <cacheField name="hashtag_clean2" numFmtId="0">
      <sharedItems containsBlank="1">
        <s v=""/>
        <s v="SmoothLikeNitroPepsi"/>
        <s v="AnytimeIsPepsiTime"/>
        <s v="ThirstyForMore"/>
        <s v="PepsiCoRefresh"/>
        <s v="BetterWithPepsi"/>
        <m/>
      </sharedItems>
    </cacheField>
    <cacheField name="hashtag_clean3" numFmtId="0">
      <sharedItems containsBlank="1">
        <s v=""/>
        <s v="ThirstyForMore"/>
        <s v="BetterWithPepsi"/>
        <s v="AnytimeIsPepsiTime"/>
        <m/>
      </sharedItems>
    </cacheField>
    <cacheField name="Engagement_Rate" numFmtId="10">
      <sharedItems containsString="0" containsBlank="1" containsNumber="1">
        <n v="0.38274706867671693"/>
        <n v="0.32083531086853345"/>
        <n v="0.26297968397291194"/>
        <n v="0.25771055753262156"/>
        <n v="0.2476392823418319"/>
        <n v="0.2365625"/>
        <n v="0.23414918414918415"/>
        <n v="0.21745283018867925"/>
        <n v="0.2087101063829787"/>
        <n v="0.20416333066453163"/>
        <n v="0.19511518179295032"/>
        <n v="0.18806848582129482"/>
        <n v="0.1851968393818614"/>
        <n v="0.18248432325794406"/>
        <n v="0.17954159592529711"/>
        <n v="0.17770337301587302"/>
        <n v="0.1774390848679208"/>
        <n v="0.1675473865594486"/>
        <n v="0.1598922075005614"/>
        <n v="0.15761129727142173"/>
        <n v="0.1569549774407219"/>
        <n v="0.15571802706241816"/>
        <n v="0.14521452145214522"/>
        <n v="0.13840458048129492"/>
        <n v="0.13809430512016718"/>
        <n v="0.1357615894039735"/>
        <n v="0.1294351630867144"/>
        <n v="0.12936184657162253"/>
        <n v="0.12885405960945528"/>
        <n v="0.1283706906360223"/>
        <n v="0.12781331438047855"/>
        <n v="0.12428384068475185"/>
        <n v="0.12353896103896105"/>
        <n v="0.12232704402515723"/>
        <n v="0.1199628351473321"/>
        <n v="0.11879910213243547"/>
        <n v="0.11143487163332809"/>
        <n v="0.1095786671562328"/>
        <n v="0.10132030477519921"/>
        <n v="0.10086880280567512"/>
        <n v="0.09963281500283398"/>
        <n v="0.09423553253771673"/>
        <n v="0.09189777052746058"/>
        <n v="0.08801973220577872"/>
        <n v="0.08673775693987822"/>
        <n v="0.08663057059558517"/>
        <n v="0.084862714173059"/>
        <n v="0.0821914819340199"/>
        <n v="0.0821084981293426"/>
        <n v="0.08204771832290943"/>
        <n v="0.08029458598726115"/>
        <n v="0.08015820698747528"/>
        <n v="0.07991504854368932"/>
        <n v="0.07984956452889945"/>
        <n v="0.07868983957219251"/>
        <n v="0.07751257751257751"/>
        <n v="0.07686799501867995"/>
        <n v="0.0759682224428997"/>
        <n v="0.07584371378910776"/>
        <n v="0.07528048100167359"/>
        <n v="0.07522990210619994"/>
        <n v="0.07412002573292896"/>
        <n v="0.07317073170731707"/>
        <n v="0.0730189022173755"/>
        <n v="0.0729691435768262"/>
        <n v="0.07273980207117016"/>
        <n v="0.07250330687830688"/>
        <n v="0.07212649369512114"/>
        <n v="0.07211677774558099"/>
        <n v="0.07207033280365921"/>
        <n v="0.07198635172059864"/>
        <n v="0.07195653727929087"/>
        <n v="0.07172350922350923"/>
        <n v="0.07055421038471886"/>
        <n v="0.06931145941330731"/>
        <n v="0.06461481657304112"/>
        <n v="0.06426512233079062"/>
        <n v="0.06374976419543482"/>
        <n v="0.06260312635692575"/>
        <n v="0.06246991874522239"/>
        <n v="0.05941358024691358"/>
        <n v="0.058563792702765516"/>
        <n v="0.0540810953133228"/>
        <n v="1.8129251700680271"/>
        <n v="0.8660194174757282"/>
        <n v="0.703875968992248"/>
        <n v="0.6508215962441315"/>
        <n v="0.3795585412667946"/>
        <n v="0.32349397590361445"/>
        <n v="0.31965192168237855"/>
        <n v="0.3170558375634518"/>
        <n v="0.30126002290950743"/>
        <n v="0.2971351835273053"/>
        <n v="0.28696581196581195"/>
        <n v="0.28245270711024134"/>
        <n v="0.28045655718611695"/>
        <n v="0.26876680752977333"/>
        <n v="0.2553704767375072"/>
        <n v="0.2361677744671098"/>
        <n v="0.23101532992668297"/>
        <n v="0.22157421618066214"/>
        <n v="0.21826126954921804"/>
        <n v="0.21208106001558846"/>
        <n v="0.20675990675990677"/>
        <n v="0.20357370772176134"/>
        <n v="0.2023049153013052"/>
        <n v="0.19864505202032423"/>
        <n v="0.19310344827586207"/>
        <n v="0.19156491900087783"/>
        <n v="0.18433235867446393"/>
        <n v="0.17057291666666666"/>
        <n v="0.16843866371633656"/>
        <n v="0.1650782845473111"/>
        <n v="0.15283323095823095"/>
        <n v="0.15105033277870217"/>
        <n v="0.1441326530612245"/>
        <n v="0.14220299534507186"/>
        <n v="0.1366773270493183"/>
        <n v="0.13493953401503478"/>
        <n v="0.13387048227640017"/>
        <n v="0.13106060606060607"/>
        <n v="0.12896028558679162"/>
        <n v="0.12575841147269717"/>
        <n v="0.12277759141227776"/>
        <n v="0.12131237937689551"/>
        <n v="0.11990720603160794"/>
        <n v="0.11861662987490802"/>
        <n v="0.11619462599854757"/>
        <n v="0.11571269132653061"/>
        <n v="0.11307081114118571"/>
        <n v="0.1123234916559692"/>
        <n v="0.10977802753582468"/>
        <n v="0.1071650124069479"/>
        <n v="0.10297222222222223"/>
        <n v="0.10034235916588857"/>
        <n v="0.0998294634658271"/>
        <n v="0.09859917557465242"/>
        <n v="0.09529073623701083"/>
        <n v="0.09441329595514618"/>
        <n v="0.09272608125819135"/>
        <n v="0.09136587839395197"/>
        <n v="0.08860696018453515"/>
        <n v="0.08775227542540562"/>
        <n v="0.08766860908662977"/>
        <n v="0.08573426573426574"/>
        <n v="0.08571840946813884"/>
        <n v="0.08558620689655172"/>
        <n v="0.08406269423958876"/>
        <n v="0.083921940869371"/>
        <n v="0.08283535957139913"/>
        <n v="0.08180809761508596"/>
        <n v="0.08056526806526806"/>
        <n v="0.07753334834947569"/>
        <n v="0.07724955215653852"/>
        <n v="0.07652353548767891"/>
        <n v="0.07082218193329304"/>
        <n v="0.06810880648089951"/>
        <n v="0.06723439899483456"/>
        <n v="0.06380962272479422"/>
        <n v="0.057655717106444085"/>
        <n v="0.05733257075899396"/>
        <n v="0.05641640042598509"/>
        <n v="0.7168674698795181"/>
        <n v="0.5377358490566038"/>
        <n v="0.5338983050847458"/>
        <n v="0.3566666666666667"/>
        <n v="0.2919973544973545"/>
        <n v="0.2570145903479237"/>
        <n v="0.25279701651571657"/>
        <n v="0.24349030470914126"/>
        <n v="0.2316508937960042"/>
        <n v="0.20868152274837512"/>
        <n v="0.2015852613538989"/>
        <n v="0.1984732824427481"/>
        <n v="0.1908838162130524"/>
        <n v="0.18632075471698112"/>
        <n v="0.17801355732390214"/>
        <n v="0.17441662408448305"/>
        <n v="0.17291569632044715"/>
        <n v="0.16888537906137185"/>
        <n v="0.1687314492192541"/>
        <n v="0.16744313510550835"/>
        <n v="0.16683616863905326"/>
        <n v="0.16540727459016394"/>
        <n v="0.16065573770491803"/>
        <n v="0.15405989502933004"/>
        <n v="0.14348370927318296"/>
        <n v="0.14320716458262928"/>
        <n v="0.1431621431913898"/>
        <n v="0.14276618001546368"/>
        <n v="0.14265722032712325"/>
        <n v="0.13989473684210527"/>
        <n v="0.13614307931570763"/>
        <n v="0.13599052880820836"/>
        <n v="0.13331166419019316"/>
        <n v="0.129425"/>
        <n v="0.1253773178094006"/>
        <n v="0.11792317271769326"/>
        <n v="0.11508145034156594"/>
        <n v="0.11465952405480581"/>
        <n v="0.11369088028965829"/>
        <n v="0.11238095238095239"/>
        <n v="0.11114018842096787"/>
        <n v="0.10768685795253277"/>
        <n v="0.10617801791554102"/>
        <n v="0.1043848167539267"/>
        <n v="0.10339256865912763"/>
        <n v="0.10005698005698006"/>
        <n v="0.09925521164714249"/>
        <n v="0.09855810008481765"/>
        <n v="0.09700127266942411"/>
        <n v="0.09342105263157895"/>
        <n v="0.09113781063873486"/>
        <n v="0.09075975359342915"/>
        <n v="0.09060681629260182"/>
        <n v="0.08773344081687491"/>
        <n v="0.0868975392847722"/>
        <n v="0.0862935055615357"/>
        <n v="0.0837269214255045"/>
        <n v="0.08353995803929049"/>
        <n v="0.08275316455696202"/>
        <n v="0.0820754716981132"/>
        <n v="0.08117752007136485"/>
        <n v="0.08086283185840708"/>
        <n v="0.07884959924563885"/>
        <n v="0.07729142185663924"/>
        <n v="0.07609768130241737"/>
        <n v="0.07349527665317139"/>
        <n v="0.07257936507936508"/>
        <n v="0.07113374430447601"/>
        <n v="0.0702720207253886"/>
        <n v="0.06865500345776378"/>
        <n v="0.06488452065616432"/>
        <n v="0.0639479340816814"/>
        <n v="0.062150491965739366"/>
        <n v="0.062129685107516146"/>
        <n v="0.059496567505720827"/>
        <n v="0.05938782489740082"/>
        <n v="0.05824332140121614"/>
        <n v="0.05665329848594088"/>
        <n v="0.0525515864211227"/>
        <n v="0.5019230769230769"/>
        <n v="0.48518407662376534"/>
        <n v="0.36965174129353234"/>
        <n v="0.3361801242236025"/>
        <n v="0.2586998498176357"/>
        <n v="0.25062082139446035"/>
        <n v="0.23673521198273673"/>
        <n v="0.21840570317563188"/>
        <n v="0.21636759108210984"/>
        <n v="0.1948460706206354"/>
        <n v="0.16769515581610614"/>
        <n v="0.1651029871670441"/>
        <n v="0.1611822059719683"/>
        <n v="0.15355188488042157"/>
        <n v="0.15339966832504145"/>
        <n v="0.13707250341997265"/>
        <n v="0.13517919809886983"/>
        <n v="0.13498547567175018"/>
        <n v="0.13351302785265048"/>
        <n v="0.12577012959422137"/>
        <n v="0.12490884163239112"/>
        <n v="0.123309241094476"/>
        <n v="0.1199202926956749"/>
        <n v="0.11489268506351293"/>
        <n v="0.10793717277486911"/>
        <n v="0.10340359564080613"/>
        <n v="0.09957813481734135"/>
        <n v="0.09806810740013097"/>
        <n v="0.09770043194926468"/>
        <n v="0.09422796795338674"/>
        <n v="0.09229898074745187"/>
        <n v="0.09023070704558174"/>
        <n v="0.0897308075772682"/>
        <n v="0.08957765667574932"/>
        <n v="0.08837126600284495"/>
        <n v="0.08653780942692438"/>
        <n v="0.08552069691966065"/>
        <n v="0.08494623655913978"/>
        <n v="0.08420361247947455"/>
        <n v="0.08327485380116958"/>
        <n v="0.0758685783630725"/>
        <n v="0.07407134976094153"/>
        <n v="0.07370786516853933"/>
        <n v="0.07200011987532966"/>
        <n v="0.0715016859344894"/>
        <n v="0.06943808797355708"/>
        <n v="0.06800325430032543"/>
        <n v="0.06710386857445681"/>
        <n v="0.06561709305594603"/>
        <n v="0.06551582126432837"/>
        <n v="0.06545578797877225"/>
        <n v="0.06371362048894062"/>
        <n v="0.06311855127395241"/>
        <n v="0.06246732310909724"/>
        <n v="0.059928644240570844"/>
        <n v="0.0583167660702452"/>
        <n v="0.05793648844463001"/>
        <n v="0.05590932246561386"/>
        <n v="0.05553149420958479"/>
        <m/>
      </sharedItems>
    </cacheField>
    <cacheField name="Post_Date_Num" numFmtId="164">
      <sharedItems containsDate="1" containsString="0" containsBlank="1">
        <d v="2025-04-02T00:00:00Z"/>
        <d v="2025-05-13T00:00:00Z"/>
        <d v="2025-02-02T00:00:00Z"/>
        <d v="2025-02-10T00:00:00Z"/>
        <d v="2025-04-06T00:00:00Z"/>
        <d v="2024-10-11T00:00:00Z"/>
        <d v="2024-10-21T00:00:00Z"/>
        <d v="2024-11-25T00:00:00Z"/>
        <d v="2024-07-31T00:00:00Z"/>
        <d v="2025-03-04T00:00:00Z"/>
        <d v="2025-04-22T00:00:00Z"/>
        <d v="2024-06-11T00:00:00Z"/>
        <d v="2024-07-07T00:00:00Z"/>
        <d v="2024-06-19T00:00:00Z"/>
        <d v="2024-10-31T00:00:00Z"/>
        <d v="2025-01-06T00:00:00Z"/>
        <d v="2025-01-18T00:00:00Z"/>
        <d v="2024-08-05T00:00:00Z"/>
        <d v="2025-03-23T00:00:00Z"/>
        <d v="2025-04-28T00:00:00Z"/>
        <d v="2025-01-03T00:00:00Z"/>
        <d v="2024-07-15T00:00:00Z"/>
        <d v="2025-02-16T00:00:00Z"/>
        <d v="2024-08-26T00:00:00Z"/>
        <d v="2024-06-22T00:00:00Z"/>
        <d v="2024-08-19T00:00:00Z"/>
        <d v="2024-12-18T00:00:00Z"/>
        <d v="2024-07-21T00:00:00Z"/>
        <d v="2024-12-22T00:00:00Z"/>
        <d v="2024-08-21T00:00:00Z"/>
        <d v="2025-05-14T00:00:00Z"/>
        <d v="2024-11-17T00:00:00Z"/>
        <d v="2025-01-12T00:00:00Z"/>
        <d v="2025-04-03T00:00:00Z"/>
        <d v="2024-08-27T00:00:00Z"/>
        <d v="2024-10-08T00:00:00Z"/>
        <d v="2024-10-22T00:00:00Z"/>
        <d v="2025-05-05T00:00:00Z"/>
        <d v="2024-06-17T00:00:00Z"/>
        <d v="2024-08-30T00:00:00Z"/>
        <d v="2024-12-09T00:00:00Z"/>
        <d v="2025-04-01T00:00:00Z"/>
        <d v="2024-08-24T00:00:00Z"/>
        <d v="2025-05-01T00:00:00Z"/>
        <d v="2024-06-02T00:00:00Z"/>
        <d v="2024-08-17T00:00:00Z"/>
        <d v="2025-02-27T00:00:00Z"/>
        <d v="2024-11-04T00:00:00Z"/>
        <d v="2025-03-24T00:00:00Z"/>
        <d v="2024-06-13T00:00:00Z"/>
        <d v="2024-11-06T00:00:00Z"/>
        <d v="2024-06-01T00:00:00Z"/>
        <d v="2024-11-01T00:00:00Z"/>
        <d v="2024-11-12T00:00:00Z"/>
        <d v="2024-11-28T00:00:00Z"/>
        <d v="2025-03-08T00:00:00Z"/>
        <d v="2024-08-14T00:00:00Z"/>
        <d v="2025-05-06T00:00:00Z"/>
        <d v="2025-01-23T00:00:00Z"/>
        <d v="2025-03-11T00:00:00Z"/>
        <d v="2025-02-06T00:00:00Z"/>
        <d v="2025-03-26T00:00:00Z"/>
        <d v="2025-01-27T00:00:00Z"/>
        <d v="2024-10-18T00:00:00Z"/>
        <d v="2025-03-29T00:00:00Z"/>
        <d v="2024-12-03T00:00:00Z"/>
        <d v="2025-04-07T00:00:00Z"/>
        <d v="2024-10-24T00:00:00Z"/>
        <d v="2024-06-20T00:00:00Z"/>
        <d v="2025-04-15T00:00:00Z"/>
        <d v="2024-11-07T00:00:00Z"/>
        <d v="2025-01-17T00:00:00Z"/>
        <d v="2024-12-23T00:00:00Z"/>
        <d v="2024-07-29T00:00:00Z"/>
        <d v="2024-10-09T00:00:00Z"/>
        <d v="2025-02-07T00:00:00Z"/>
        <d v="2024-08-15T00:00:00Z"/>
        <d v="2025-01-01T00:00:00Z"/>
        <d v="2024-12-17T00:00:00Z"/>
        <d v="2024-12-16T00:00:00Z"/>
        <d v="2024-12-11T00:00:00Z"/>
        <d v="2024-08-20T00:00:00Z"/>
        <d v="2024-08-07T00:00:00Z"/>
        <d v="2024-06-14T00:00:00Z"/>
        <d v="2025-04-08T00:00:00Z"/>
        <d v="2024-11-05T00:00:00Z"/>
        <d v="2024-12-14T00:00:00Z"/>
        <d v="2025-01-31T00:00:00Z"/>
        <d v="2024-10-17T00:00:00Z"/>
        <d v="2024-07-11T00:00:00Z"/>
        <d v="2024-12-08T00:00:00Z"/>
        <d v="2025-04-19T00:00:00Z"/>
        <d v="2025-01-28T00:00:00Z"/>
        <d v="2024-08-12T00:00:00Z"/>
        <d v="2024-11-29T00:00:00Z"/>
        <d v="2025-03-27T00:00:00Z"/>
        <d v="2024-07-03T00:00:00Z"/>
        <d v="2024-12-19T00:00:00Z"/>
        <d v="2024-08-01T00:00:00Z"/>
        <d v="2025-03-28T00:00:00Z"/>
        <d v="2024-11-30T00:00:00Z"/>
        <d v="2024-08-11T00:00:00Z"/>
        <d v="2024-06-12T00:00:00Z"/>
        <d v="2024-07-26T00:00:00Z"/>
        <d v="2024-10-03T00:00:00Z"/>
        <d v="2024-06-23T00:00:00Z"/>
        <d v="2025-01-11T00:00:00Z"/>
        <d v="2024-10-19T00:00:00Z"/>
        <d v="2024-07-10T00:00:00Z"/>
        <d v="2025-02-12T00:00:00Z"/>
        <d v="2024-08-13T00:00:00Z"/>
        <d v="2025-02-04T00:00:00Z"/>
        <d v="2024-07-24T00:00:00Z"/>
        <d v="2025-04-13T00:00:00Z"/>
        <d v="2024-12-20T00:00:00Z"/>
        <d v="2024-10-27T00:00:00Z"/>
        <d v="2024-07-01T00:00:00Z"/>
        <d v="2024-10-02T00:00:00Z"/>
        <d v="2025-01-04T00:00:00Z"/>
        <d v="2024-06-03T00:00:00Z"/>
        <d v="2024-11-08T00:00:00Z"/>
        <d v="2024-09-09T00:00:00Z"/>
        <d v="2025-02-25T00:00:00Z"/>
        <d v="2024-11-21T00:00:00Z"/>
        <d v="2025-04-29T00:00:00Z"/>
        <d v="2024-11-22T00:00:00Z"/>
        <d v="2025-01-30T00:00:00Z"/>
        <d v="2024-09-18T00:00:00Z"/>
        <d v="2025-02-20T00:00:00Z"/>
        <d v="2024-12-24T00:00:00Z"/>
        <d v="2024-08-31T00:00:00Z"/>
        <d v="2024-06-06T00:00:00Z"/>
        <d v="2024-06-07T00:00:00Z"/>
        <d v="2024-09-14T00:00:00Z"/>
        <d v="2024-07-18T00:00:00Z"/>
        <d v="2024-10-05T00:00:00Z"/>
        <d v="2025-05-02T00:00:00Z"/>
        <d v="2025-01-10T00:00:00Z"/>
        <d v="2024-08-08T00:00:00Z"/>
        <d v="2025-02-24T00:00:00Z"/>
        <d v="2024-12-05T00:00:00Z"/>
        <d v="2024-12-29T00:00:00Z"/>
        <d v="2024-09-05T00:00:00Z"/>
        <d v="2024-09-08T00:00:00Z"/>
        <d v="2025-03-07T00:00:00Z"/>
        <d v="2024-07-28T00:00:00Z"/>
        <d v="2025-01-14T00:00:00Z"/>
        <d v="2024-11-14T00:00:00Z"/>
        <d v="2025-02-19T00:00:00Z"/>
        <d v="2024-09-17T00:00:00Z"/>
        <d v="2024-06-10T00:00:00Z"/>
        <d v="2024-11-26T00:00:00Z"/>
        <d v="2024-06-24T00:00:00Z"/>
        <d v="2025-04-24T00:00:00Z"/>
        <d v="2024-09-10T00:00:00Z"/>
        <d v="2025-03-25T00:00:00Z"/>
        <d v="2024-09-11T00:00:00Z"/>
        <d v="2025-03-02T00:00:00Z"/>
        <d v="2025-03-06T00:00:00Z"/>
        <d v="2025-01-15T00:00:00Z"/>
        <d v="2024-08-03T00:00:00Z"/>
        <d v="2025-03-19T00:00:00Z"/>
        <d v="2024-06-16T00:00:00Z"/>
        <d v="2024-07-16T00:00:00Z"/>
        <d v="2024-10-04T00:00:00Z"/>
        <d v="2025-05-11T00:00:00Z"/>
        <d v="2025-04-10T00:00:00Z"/>
        <d v="2025-02-11T00:00:00Z"/>
        <d v="2025-05-09T00:00:00Z"/>
        <d v="2024-10-25T00:00:00Z"/>
        <d v="2025-03-21T00:00:00Z"/>
        <d v="2025-03-05T00:00:00Z"/>
        <d v="2024-06-05T00:00:00Z"/>
        <d v="2024-09-25T00:00:00Z"/>
        <d v="2025-03-18T00:00:00Z"/>
        <d v="2025-03-13T00:00:00Z"/>
        <d v="2024-10-15T00:00:00Z"/>
        <d v="2024-10-28T00:00:00Z"/>
        <d v="2025-02-17T00:00:00Z"/>
        <d v="2025-03-03T00:00:00Z"/>
        <d v="2024-09-02T00:00:00Z"/>
        <d v="2024-12-21T00:00:00Z"/>
        <d v="2024-07-23T00:00:00Z"/>
        <d v="2024-07-13T00:00:00Z"/>
        <d v="2024-12-31T00:00:00Z"/>
        <d v="2024-10-12T00:00:00Z"/>
        <d v="2024-10-29T00:00:00Z"/>
        <d v="2025-04-05T00:00:00Z"/>
        <d v="2024-09-29T00:00:00Z"/>
        <d v="2024-11-18T00:00:00Z"/>
        <d v="2024-11-23T00:00:00Z"/>
        <d v="2024-07-02T00:00:00Z"/>
        <d v="2025-04-17T00:00:00Z"/>
        <d v="2024-06-26T00:00:00Z"/>
        <d v="2024-08-22T00:00:00Z"/>
        <d v="2025-03-22T00:00:00Z"/>
        <d v="2024-06-21T00:00:00Z"/>
        <d v="2025-05-12T00:00:00Z"/>
        <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301" sheet="Posts"/>
  </cacheSource>
  <cacheFields>
    <cacheField name="Post ID" numFmtId="0">
      <sharedItems>
        <s v="P070"/>
        <s v="P224"/>
        <s v="P248"/>
        <s v="P259"/>
        <s v="P277"/>
        <s v="P246"/>
        <s v="P120"/>
        <s v="P159"/>
        <s v="P137"/>
        <s v="P077"/>
        <s v="P152"/>
        <s v="P218"/>
        <s v="P242"/>
        <s v="P294"/>
        <s v="P006"/>
        <s v="P037"/>
        <s v="P241"/>
        <s v="P275"/>
        <s v="P221"/>
        <s v="P252"/>
        <s v="P052"/>
        <s v="P140"/>
        <s v="P014"/>
        <s v="P299"/>
        <s v="P174"/>
        <s v="P088"/>
        <s v="P236"/>
        <s v="P056"/>
        <s v="P012"/>
        <s v="P235"/>
        <s v="P033"/>
        <s v="P293"/>
        <s v="P292"/>
        <s v="P245"/>
        <s v="P255"/>
        <s v="P247"/>
        <s v="P222"/>
        <s v="P156"/>
        <s v="P182"/>
        <s v="P266"/>
        <s v="P103"/>
        <s v="P017"/>
        <s v="P055"/>
        <s v="P009"/>
        <s v="P084"/>
        <s v="P162"/>
        <s v="P186"/>
        <s v="P213"/>
        <s v="P202"/>
        <s v="P064"/>
        <s v="P022"/>
        <s v="P118"/>
        <s v="P257"/>
        <s v="P091"/>
        <s v="P051"/>
        <s v="P230"/>
        <s v="P023"/>
        <s v="P234"/>
        <s v="P016"/>
        <s v="P179"/>
        <s v="P045"/>
        <s v="P168"/>
        <s v="P250"/>
        <s v="P289"/>
        <s v="P233"/>
        <s v="P172"/>
        <s v="P189"/>
        <s v="P039"/>
        <s v="P215"/>
        <s v="P024"/>
        <s v="P010"/>
        <s v="P291"/>
        <s v="P133"/>
        <s v="P034"/>
        <s v="P127"/>
        <s v="P135"/>
        <s v="P073"/>
        <s v="P067"/>
        <s v="P217"/>
        <s v="P200"/>
        <s v="P015"/>
        <s v="P298"/>
        <s v="P176"/>
        <s v="P220"/>
        <s v="P058"/>
        <s v="P178"/>
        <s v="P175"/>
        <s v="P214"/>
        <s v="P121"/>
        <s v="P154"/>
        <s v="P119"/>
        <s v="P287"/>
        <s v="P204"/>
        <s v="P183"/>
        <s v="P031"/>
        <s v="P093"/>
        <s v="P263"/>
        <s v="P226"/>
        <s v="P123"/>
        <s v="P163"/>
        <s v="P269"/>
        <s v="P043"/>
        <s v="P029"/>
        <s v="P271"/>
        <s v="P136"/>
        <s v="P258"/>
        <s v="P148"/>
        <s v="P068"/>
        <s v="P085"/>
        <s v="P041"/>
        <s v="P028"/>
        <s v="P094"/>
        <s v="P060"/>
        <s v="P147"/>
        <s v="P004"/>
        <s v="P192"/>
        <s v="P272"/>
        <s v="P195"/>
        <s v="P132"/>
        <s v="P229"/>
        <s v="P131"/>
        <s v="P105"/>
        <s v="P196"/>
        <s v="P110"/>
        <s v="P075"/>
        <s v="P065"/>
        <s v="P035"/>
        <s v="P251"/>
        <s v="P011"/>
        <s v="P158"/>
        <s v="P227"/>
        <s v="P151"/>
        <s v="P282"/>
        <s v="P018"/>
        <s v="P019"/>
        <s v="P126"/>
        <s v="P167"/>
        <s v="P185"/>
        <s v="P081"/>
        <s v="P059"/>
        <s v="P177"/>
        <s v="P079"/>
        <s v="P260"/>
        <s v="P097"/>
        <s v="P231"/>
        <s v="P106"/>
        <s v="P082"/>
        <s v="P268"/>
        <s v="P290"/>
        <s v="P261"/>
        <s v="P228"/>
        <s v="P122"/>
        <s v="P080"/>
        <s v="P021"/>
        <s v="P036"/>
        <s v="P090"/>
        <s v="P095"/>
        <s v="P237"/>
        <s v="P020"/>
        <s v="P030"/>
        <s v="P203"/>
        <s v="P145"/>
        <s v="P232"/>
        <s v="P062"/>
        <s v="P264"/>
        <s v="P102"/>
        <s v="P066"/>
        <s v="P219"/>
        <s v="P265"/>
        <s v="P297"/>
        <s v="P141"/>
        <s v="P087"/>
        <s v="P276"/>
        <s v="P198"/>
        <s v="P032"/>
        <s v="P211"/>
        <s v="P153"/>
        <s v="P112"/>
        <s v="P129"/>
        <s v="P046"/>
        <s v="P089"/>
        <s v="P109"/>
        <s v="P047"/>
        <s v="P295"/>
        <s v="P138"/>
        <s v="P165"/>
        <s v="P173"/>
        <s v="P166"/>
        <s v="P207"/>
        <s v="P061"/>
        <s v="P125"/>
        <s v="P040"/>
        <s v="P184"/>
        <s v="P092"/>
        <s v="P254"/>
        <s v="P114"/>
        <s v="P128"/>
        <s v="P117"/>
        <s v="P161"/>
        <s v="P284"/>
        <s v="P113"/>
        <s v="P098"/>
        <s v="P278"/>
        <s v="P206"/>
        <s v="P049"/>
        <s v="P205"/>
        <s v="P096"/>
        <s v="P108"/>
        <s v="P193"/>
        <s v="P044"/>
        <s v="P243"/>
        <s v="P069"/>
        <s v="P160"/>
        <s v="P001"/>
        <s v="P201"/>
        <s v="P249"/>
        <s v="P253"/>
        <s v="P240"/>
        <s v="P187"/>
        <s v="P300"/>
        <s v="P209"/>
        <s v="P078"/>
        <s v="P076"/>
        <s v="P057"/>
        <s v="P274"/>
        <s v="P149"/>
        <s v="P002"/>
        <s v="P048"/>
        <s v="P238"/>
        <s v="P134"/>
        <s v="P007"/>
        <s v="P170"/>
        <s v="P197"/>
        <s v="P267"/>
        <s v="P115"/>
        <s v="P223"/>
        <s v="P025"/>
        <s v="P296"/>
        <s v="P283"/>
        <s v="P225"/>
        <s v="P063"/>
        <s v="P143"/>
        <s v="P210"/>
        <s v="P053"/>
        <s v="P124"/>
        <s v="P244"/>
        <s v="P239"/>
        <s v="P181"/>
        <s v="P042"/>
        <s v="P146"/>
        <s v="P286"/>
        <s v="P116"/>
        <s v="P054"/>
        <s v="P083"/>
        <s v="P164"/>
        <s v="P262"/>
        <s v="P104"/>
        <s v="P285"/>
        <s v="P050"/>
        <s v="P074"/>
        <s v="P038"/>
        <s v="P169"/>
        <s v="P212"/>
        <s v="P071"/>
        <s v="P155"/>
        <s v="P157"/>
        <s v="P008"/>
        <s v="P191"/>
        <s v="P171"/>
        <s v="P273"/>
        <s v="P139"/>
        <s v="P100"/>
        <s v="P180"/>
        <s v="P026"/>
        <s v="P130"/>
        <s v="P072"/>
        <s v="P208"/>
        <s v="P199"/>
        <s v="P188"/>
        <s v="P194"/>
        <s v="P280"/>
        <s v="P013"/>
        <s v="P111"/>
        <s v="P101"/>
        <s v="P099"/>
        <s v="P027"/>
        <s v="P142"/>
        <s v="P288"/>
        <s v="P270"/>
        <s v="P005"/>
        <s v="P086"/>
        <s v="P144"/>
        <s v="P150"/>
        <s v="P281"/>
        <s v="P107"/>
        <s v="P279"/>
        <s v="P216"/>
        <s v="P256"/>
        <s v="P190"/>
        <s v="P003"/>
      </sharedItems>
    </cacheField>
    <cacheField name="Platform_Clean" numFmtId="0">
      <sharedItems>
        <s v="FACEBOOK"/>
        <s v="INSTAGRAM"/>
        <s v="TWITTER"/>
        <s v="YOUTUBE"/>
      </sharedItems>
    </cacheField>
    <cacheField name="Data" numFmtId="164">
      <sharedItems containsSemiMixedTypes="0" containsDate="1" containsString="0">
        <d v="2025-04-02T00:00:00Z"/>
        <d v="2025-05-13T00:00:00Z"/>
        <d v="2025-02-02T00:00:00Z"/>
        <d v="2025-02-10T00:00:00Z"/>
        <d v="2025-04-06T00:00:00Z"/>
        <d v="2024-10-11T00:00:00Z"/>
        <d v="2024-10-21T00:00:00Z"/>
        <d v="2024-11-25T00:00:00Z"/>
        <d v="2024-07-31T00:00:00Z"/>
        <d v="2025-03-04T00:00:00Z"/>
        <d v="2025-04-22T00:00:00Z"/>
        <d v="2024-06-11T00:00:00Z"/>
        <d v="2024-07-07T00:00:00Z"/>
        <d v="2024-06-19T00:00:00Z"/>
        <d v="2024-10-31T00:00:00Z"/>
        <d v="2025-01-06T00:00:00Z"/>
        <d v="2025-01-18T00:00:00Z"/>
        <d v="2024-08-05T00:00:00Z"/>
        <d v="2025-03-23T00:00:00Z"/>
        <d v="2025-04-28T00:00:00Z"/>
        <d v="2025-01-03T00:00:00Z"/>
        <d v="2024-07-15T00:00:00Z"/>
        <d v="2025-02-16T00:00:00Z"/>
        <d v="2024-08-26T00:00:00Z"/>
        <d v="2024-06-22T00:00:00Z"/>
        <d v="2024-08-19T00:00:00Z"/>
        <d v="2024-12-18T00:00:00Z"/>
        <d v="2024-07-21T00:00:00Z"/>
        <d v="2024-12-22T00:00:00Z"/>
        <d v="2024-08-21T00:00:00Z"/>
        <d v="2025-05-14T00:00:00Z"/>
        <d v="2024-11-17T00:00:00Z"/>
        <d v="2025-01-12T00:00:00Z"/>
        <d v="2025-04-03T00:00:00Z"/>
        <d v="2024-08-27T00:00:00Z"/>
        <d v="2024-10-08T00:00:00Z"/>
        <d v="2024-10-22T00:00:00Z"/>
        <d v="2025-05-05T00:00:00Z"/>
        <d v="2024-06-17T00:00:00Z"/>
        <d v="2024-08-30T00:00:00Z"/>
        <d v="2024-12-09T00:00:00Z"/>
        <d v="2025-04-01T00:00:00Z"/>
        <d v="2024-08-24T00:00:00Z"/>
        <d v="2025-05-01T00:00:00Z"/>
        <d v="2024-06-02T00:00:00Z"/>
        <d v="2024-08-17T00:00:00Z"/>
        <d v="2025-02-27T00:00:00Z"/>
        <d v="2024-11-04T00:00:00Z"/>
        <d v="2025-03-24T00:00:00Z"/>
        <d v="2024-06-13T00:00:00Z"/>
        <d v="2024-11-06T00:00:00Z"/>
        <d v="2024-06-01T00:00:00Z"/>
        <d v="2024-11-01T00:00:00Z"/>
        <d v="2024-11-12T00:00:00Z"/>
        <d v="2024-11-28T00:00:00Z"/>
        <d v="2025-03-08T00:00:00Z"/>
        <d v="2024-08-14T00:00:00Z"/>
        <d v="2025-05-06T00:00:00Z"/>
        <d v="2025-01-23T00:00:00Z"/>
        <d v="2025-03-11T00:00:00Z"/>
        <d v="2025-02-06T00:00:00Z"/>
        <d v="2025-03-26T00:00:00Z"/>
        <d v="2025-01-27T00:00:00Z"/>
        <d v="2024-10-18T00:00:00Z"/>
        <d v="2025-03-29T00:00:00Z"/>
        <d v="2024-12-03T00:00:00Z"/>
        <d v="2025-04-07T00:00:00Z"/>
        <d v="2024-10-24T00:00:00Z"/>
        <d v="2024-06-20T00:00:00Z"/>
        <d v="2025-04-15T00:00:00Z"/>
        <d v="2024-11-07T00:00:00Z"/>
        <d v="2025-01-17T00:00:00Z"/>
        <d v="2024-12-23T00:00:00Z"/>
        <d v="2024-07-29T00:00:00Z"/>
        <d v="2024-10-09T00:00:00Z"/>
        <d v="2025-02-07T00:00:00Z"/>
        <d v="2024-08-15T00:00:00Z"/>
        <d v="2025-01-01T00:00:00Z"/>
        <d v="2024-12-17T00:00:00Z"/>
        <d v="2024-12-16T00:00:00Z"/>
        <d v="2024-12-11T00:00:00Z"/>
        <d v="2024-08-20T00:00:00Z"/>
        <d v="2024-08-07T00:00:00Z"/>
        <d v="2024-06-14T00:00:00Z"/>
        <d v="2025-04-08T00:00:00Z"/>
        <d v="2024-11-05T00:00:00Z"/>
        <d v="2024-12-14T00:00:00Z"/>
        <d v="2025-01-31T00:00:00Z"/>
        <d v="2024-10-17T00:00:00Z"/>
        <d v="2024-07-11T00:00:00Z"/>
        <d v="2024-12-08T00:00:00Z"/>
        <d v="2025-04-19T00:00:00Z"/>
        <d v="2025-01-28T00:00:00Z"/>
        <d v="2024-08-12T00:00:00Z"/>
        <d v="2024-11-29T00:00:00Z"/>
        <d v="2025-03-27T00:00:00Z"/>
        <d v="2024-07-03T00:00:00Z"/>
        <d v="2024-12-19T00:00:00Z"/>
        <d v="2024-08-01T00:00:00Z"/>
        <d v="2025-03-28T00:00:00Z"/>
        <d v="2024-11-30T00:00:00Z"/>
        <d v="2024-08-11T00:00:00Z"/>
        <d v="2024-06-12T00:00:00Z"/>
        <d v="2024-07-26T00:00:00Z"/>
        <d v="2024-10-03T00:00:00Z"/>
        <d v="2024-06-23T00:00:00Z"/>
        <d v="2025-01-11T00:00:00Z"/>
        <d v="2024-10-19T00:00:00Z"/>
        <d v="2024-07-10T00:00:00Z"/>
        <d v="2025-02-12T00:00:00Z"/>
        <d v="2024-08-13T00:00:00Z"/>
        <d v="2025-02-04T00:00:00Z"/>
        <d v="2024-07-24T00:00:00Z"/>
        <d v="2025-04-13T00:00:00Z"/>
        <d v="2024-12-20T00:00:00Z"/>
        <d v="2024-10-27T00:00:00Z"/>
        <d v="2024-07-01T00:00:00Z"/>
        <d v="2024-10-02T00:00:00Z"/>
        <d v="2025-01-04T00:00:00Z"/>
        <d v="2024-06-03T00:00:00Z"/>
        <d v="2024-11-08T00:00:00Z"/>
        <d v="2024-09-09T00:00:00Z"/>
        <d v="2025-02-25T00:00:00Z"/>
        <d v="2024-11-21T00:00:00Z"/>
        <d v="2025-04-29T00:00:00Z"/>
        <d v="2024-11-22T00:00:00Z"/>
        <d v="2025-01-30T00:00:00Z"/>
        <d v="2024-09-18T00:00:00Z"/>
        <d v="2025-02-20T00:00:00Z"/>
        <d v="2024-12-24T00:00:00Z"/>
        <d v="2024-08-31T00:00:00Z"/>
        <d v="2024-06-06T00:00:00Z"/>
        <d v="2024-06-07T00:00:00Z"/>
        <d v="2024-09-14T00:00:00Z"/>
        <d v="2024-07-18T00:00:00Z"/>
        <d v="2024-10-05T00:00:00Z"/>
        <d v="2025-05-02T00:00:00Z"/>
        <d v="2025-01-10T00:00:00Z"/>
        <d v="2024-08-08T00:00:00Z"/>
        <d v="2025-02-24T00:00:00Z"/>
        <d v="2024-12-05T00:00:00Z"/>
        <d v="2024-12-29T00:00:00Z"/>
        <d v="2024-09-05T00:00:00Z"/>
        <d v="2024-09-08T00:00:00Z"/>
        <d v="2025-03-07T00:00:00Z"/>
        <d v="2024-07-28T00:00:00Z"/>
        <d v="2025-01-14T00:00:00Z"/>
        <d v="2024-11-14T00:00:00Z"/>
        <d v="2025-02-19T00:00:00Z"/>
        <d v="2024-09-17T00:00:00Z"/>
        <d v="2024-06-10T00:00:00Z"/>
        <d v="2024-11-26T00:00:00Z"/>
        <d v="2024-06-24T00:00:00Z"/>
        <d v="2025-04-24T00:00:00Z"/>
        <d v="2024-09-10T00:00:00Z"/>
        <d v="2025-03-25T00:00:00Z"/>
        <d v="2024-09-11T00:00:00Z"/>
        <d v="2025-03-02T00:00:00Z"/>
        <d v="2025-03-06T00:00:00Z"/>
        <d v="2025-01-15T00:00:00Z"/>
        <d v="2024-08-03T00:00:00Z"/>
        <d v="2025-03-19T00:00:00Z"/>
        <d v="2024-06-16T00:00:00Z"/>
        <d v="2024-07-16T00:00:00Z"/>
        <d v="2024-10-04T00:00:00Z"/>
        <d v="2025-05-11T00:00:00Z"/>
        <d v="2025-04-10T00:00:00Z"/>
        <d v="2025-02-11T00:00:00Z"/>
        <d v="2025-05-09T00:00:00Z"/>
        <d v="2024-10-25T00:00:00Z"/>
        <d v="2025-03-21T00:00:00Z"/>
        <d v="2025-03-05T00:00:00Z"/>
        <d v="2024-06-05T00:00:00Z"/>
        <d v="2024-09-25T00:00:00Z"/>
        <d v="2025-03-18T00:00:00Z"/>
        <d v="2025-03-13T00:00:00Z"/>
        <d v="2024-10-15T00:00:00Z"/>
        <d v="2024-10-28T00:00:00Z"/>
        <d v="2025-02-17T00:00:00Z"/>
        <d v="2025-03-03T00:00:00Z"/>
        <d v="2024-09-02T00:00:00Z"/>
        <d v="2024-12-21T00:00:00Z"/>
        <d v="2024-07-23T00:00:00Z"/>
        <d v="2024-07-13T00:00:00Z"/>
        <d v="2024-12-31T00:00:00Z"/>
        <d v="2024-10-12T00:00:00Z"/>
        <d v="2024-10-29T00:00:00Z"/>
        <d v="2025-04-05T00:00:00Z"/>
        <d v="2024-09-29T00:00:00Z"/>
        <d v="2024-11-18T00:00:00Z"/>
        <d v="2024-11-23T00:00:00Z"/>
        <d v="2024-07-02T00:00:00Z"/>
        <d v="2025-04-17T00:00:00Z"/>
        <d v="2024-06-26T00:00:00Z"/>
        <d v="2024-08-22T00:00:00Z"/>
        <d v="2025-03-22T00:00:00Z"/>
        <d v="2024-06-21T00:00:00Z"/>
        <d v="2025-05-12T00:00:00Z"/>
      </sharedItems>
    </cacheField>
    <cacheField name="Campaign_Name" numFmtId="164">
      <sharedItems>
        <s v="Outside Campaign"/>
        <s v="NewYearRefresh"/>
        <s v="FestiveRadiance"/>
        <s v="SummerSplash"/>
      </sharedItems>
    </cacheField>
    <cacheField name="Content Type" numFmtId="0">
      <sharedItems>
        <s v="Video"/>
        <s v="Image"/>
        <s v="Story"/>
        <s v="Text"/>
        <s v="Carousel"/>
        <s v="Reel"/>
      </sharedItems>
    </cacheField>
    <cacheField name="Post Text" numFmtId="0">
      <sharedItems>
        <s v="Check out our latest video on facebook!"/>
        <s v="Check out our latest image on facebook!"/>
        <s v="Check out our latest story on facebook!"/>
        <s v="Check out our latest text on facebook!"/>
        <s v="Check out our latest carousel on facebook!"/>
        <s v="Check out our latest reel on facebook!"/>
        <s v="Check out our latest story on instagram!"/>
        <s v="Check out our latest reel on instagram!"/>
        <s v="Check out our latest video on instagram!"/>
        <s v="Check out our latest image on instagram!"/>
        <s v="Check out our latest carousel on instagram!"/>
        <s v="Check out our latest text on instagram!"/>
        <s v="Check out our latest story on twitter!"/>
        <s v="Check out our latest carousel on twitter!"/>
        <s v="Check out our latest image on twitter!"/>
        <s v="Check out our latest reel on twitter!"/>
        <s v="Check out our latest text on twitter!"/>
        <s v="Check out our latest video on twitter!"/>
        <s v="Check out our latest carousel on youtube!"/>
        <s v="Check out our latest image on youtube!"/>
        <s v="Check out our latest video on youtube!"/>
        <s v="Check out our latest text on youtube!"/>
        <s v="Check out our latest reel on youtube!"/>
        <s v="Check out our latest story on youtube!"/>
      </sharedItems>
    </cacheField>
    <cacheField name="Likes" numFmtId="4">
      <sharedItems containsSemiMixedTypes="0" containsString="0" containsNumber="1" containsInteger="1">
        <n v="199.0"/>
        <n v="602.0"/>
        <n v="886.0"/>
        <n v="562.0"/>
        <n v="4236.0"/>
        <n v="400.0"/>
        <n v="780.0"/>
        <n v="2120.0"/>
        <n v="3008.0"/>
        <n v="1249.0"/>
        <n v="4804.0"/>
        <n v="1869.0"/>
        <n v="4767.0"/>
        <n v="4731.0"/>
        <n v="2945.0"/>
        <n v="3024.0"/>
        <n v="4321.0"/>
        <n v="1741.0"/>
        <n v="4453.0"/>
        <n v="2089.0"/>
        <n v="947.0"/>
        <n v="2291.0"/>
        <n v="4242.0"/>
        <n v="2581.0"/>
        <n v="3828.0"/>
        <n v="302.0"/>
        <n v="1257.0"/>
        <n v="2946.0"/>
        <n v="1946.0"/>
        <n v="3196.0"/>
        <n v="1407.0"/>
        <n v="2634.0"/>
        <n v="880.0"/>
        <n v="4134.0"/>
        <n v="3767.0"/>
        <n v="3960.0"/>
        <n v="1814.0"/>
        <n v="3352.0"/>
        <n v="4689.0"/>
        <n v="4182.0"/>
        <n v="3689.0"/>
        <n v="4441.0"/>
        <n v="1226.0"/>
        <n v="3784.0"/>
        <n v="1841.0"/>
        <n v="3430.0"/>
        <n v="4292.0"/>
        <n v="2696.0"/>
        <n v="1871.0"/>
        <n v="2878.0"/>
        <n v="1570.0"/>
        <n v="4551.0"/>
        <n v="3090.0"/>
        <n v="1263.0"/>
        <n v="2200.0"/>
        <n v="3663.0"/>
        <n v="1606.0"/>
        <n v="1272.0"/>
        <n v="3452.0"/>
        <n v="3796.0"/>
        <n v="3371.0"/>
        <n v="2418.0"/>
        <n v="3813.0"/>
        <n v="2751.0"/>
        <n v="2382.0"/>
        <n v="3073.0"/>
        <n v="3360.0"/>
        <n v="3564.0"/>
        <n v="4872.0"/>
        <n v="3961.0"/>
        <n v="4241.0"/>
        <n v="4663.0"/>
        <n v="2072.0"/>
        <n v="1652.0"/>
        <n v="4213.0"/>
        <n v="4126.0"/>
        <n v="4712.0"/>
        <n v="4606.0"/>
        <n v="3718.0"/>
        <n v="3888.0"/>
        <n v="4303.0"/>
        <n v="3798.0"/>
        <n v="84.0"/>
        <n v="103.0"/>
        <n v="129.0"/>
        <n v="142.0"/>
        <n v="521.0"/>
        <n v="498.0"/>
        <n v="985.0"/>
        <n v="1970.0"/>
        <n v="1164.0"/>
        <n v="2234.0"/>
        <n v="360.0"/>
        <n v="438.0"/>
        <n v="1431.0"/>
        <n v="2603.0"/>
        <n v="4363.0"/>
        <n v="4501.0"/>
        <n v="4561.0"/>
        <n v="2174.0"/>
        <n v="2566.0"/>
        <n v="3575.0"/>
        <n v="3134.0"/>
        <n v="3601.0"/>
        <n v="4133.0"/>
        <n v="2610.0"/>
        <n v="4177.0"/>
        <n v="456.0"/>
        <n v="432.0"/>
        <n v="2647.0"/>
        <n v="904.0"/>
        <n v="3256.0"/>
        <n v="2404.0"/>
        <n v="1176.0"/>
        <n v="4941.0"/>
        <n v="914.0"/>
        <n v="1947.0"/>
        <n v="4799.0"/>
        <n v="4840.0"/>
        <n v="1813.0"/>
        <n v="3523.0"/>
        <n v="1674.0"/>
        <n v="1881.0"/>
        <n v="3775.0"/>
        <n v="1377.0"/>
        <n v="1792.0"/>
        <n v="1762.0"/>
        <n v="246.0"/>
        <n v="3559.0"/>
        <n v="1488.0"/>
        <n v="3000.0"/>
        <n v="1071.0"/>
        <n v="4158.0"/>
        <n v="4771.0"/>
        <n v="4523.0"/>
        <n v="1816.0"/>
        <n v="2180.0"/>
        <n v="3099.0"/>
        <n v="3068.0"/>
        <n v="4332.0"/>
        <n v="4739.0"/>
        <n v="1430.0"/>
        <n v="4619.0"/>
        <n v="725.0"/>
        <n v="4579.0"/>
        <n v="2107.0"/>
        <n v="4853.0"/>
        <n v="4808.0"/>
        <n v="3432.0"/>
        <n v="2103.0"/>
        <n v="4838.0"/>
        <n v="4518.0"/>
        <n v="3861.0"/>
        <n v="3182.0"/>
        <n v="3770.0"/>
        <n v="4054.0"/>
        <n v="3095.0"/>
        <n v="3773.0"/>
        <n v="1878.0"/>
        <n v="249.0"/>
        <n v="53.0"/>
        <n v="59.0"/>
        <n v="1000.0"/>
        <n v="1188.0"/>
        <n v="1877.0"/>
        <n v="2166.0"/>
        <n v="3170.0"/>
        <n v="1436.0"/>
        <n v="1556.0"/>
        <n v="1048.0"/>
        <n v="2278.0"/>
        <n v="754.0"/>
        <n v="1957.0"/>
        <n v="2147.0"/>
        <n v="1108.0"/>
        <n v="2214.0"/>
        <n v="3649.0"/>
        <n v="2704.0"/>
        <n v="1952.0"/>
        <n v="305.0"/>
        <n v="3239.0"/>
        <n v="1330.0"/>
        <n v="1076.0"/>
        <n v="4274.0"/>
        <n v="4886.0"/>
        <n v="3811.0"/>
        <n v="4750.0"/>
        <n v="3215.0"/>
        <n v="3801.0"/>
        <n v="2692.0"/>
        <n v="4000.0"/>
        <n v="3092.0"/>
        <n v="4671.0"/>
        <n v="571.0"/>
        <n v="4419.0"/>
        <n v="1575.0"/>
        <n v="4516.0"/>
        <n v="941.0"/>
        <n v="2164.0"/>
        <n v="3820.0"/>
        <n v="1238.0"/>
        <n v="4050.0"/>
        <n v="4858.0"/>
        <n v="2358.0"/>
        <n v="3592.0"/>
        <n v="1292.0"/>
        <n v="1082.0"/>
        <n v="1461.0"/>
        <n v="802.0"/>
        <n v="827.0"/>
        <n v="3791.0"/>
        <n v="929.0"/>
        <n v="1644.0"/>
        <n v="4494.0"/>
        <n v="3160.0"/>
        <n v="954.0"/>
        <n v="1121.0"/>
        <n v="2825.0"/>
        <n v="3535.0"/>
        <n v="1702.0"/>
        <n v="1950.0"/>
        <n v="4725.0"/>
        <n v="3731.0"/>
        <n v="3860.0"/>
        <n v="3577.0"/>
        <n v="4782.0"/>
        <n v="4187.0"/>
        <n v="2493.0"/>
        <n v="3338.0"/>
        <n v="3128.0"/>
        <n v="3440.0"/>
        <n v="3367.0"/>
        <n v="4672.0"/>
        <n v="4507.0"/>
        <n v="80.0"/>
        <n v="257.0"/>
        <n v="804.0"/>
        <n v="736.0"/>
        <n v="4661.0"/>
        <n v="4188.0"/>
        <n v="606.0"/>
        <n v="1543.0"/>
        <n v="3065.0"/>
        <n v="3389.0"/>
        <n v="3704.0"/>
        <n v="1686.0"/>
        <n v="1094.0"/>
        <n v="4934.0"/>
        <n v="1206.0"/>
        <n v="3655.0"/>
        <n v="4021.0"/>
        <n v="2754.0"/>
        <n v="1855.0"/>
        <n v="3138.0"/>
        <n v="3809.0"/>
        <n v="3874.0"/>
        <n v="2551.0"/>
        <n v="2283.0"/>
        <n v="4775.0"/>
        <n v="3929.0"/>
        <n v="4285.0"/>
        <n v="1018.0"/>
        <n v="3641.0"/>
        <n v="2746.0"/>
        <n v="1766.0"/>
        <n v="3711.0"/>
        <n v="3009.0"/>
        <n v="2936.0"/>
        <n v="296.0"/>
        <n v="2949.0"/>
        <n v="2509.0"/>
        <n v="2728.0"/>
        <n v="4350.0"/>
        <n v="4275.0"/>
        <n v="1171.0"/>
        <n v="2719.0"/>
        <n v="4450.0"/>
        <n v="4171.0"/>
        <n v="2076.0"/>
        <n v="2070.0"/>
        <n v="4780.0"/>
        <n v="3774.0"/>
        <n v="3557.0"/>
        <n v="3428.0"/>
        <n v="4929.0"/>
        <n v="4295.0"/>
        <n v="3166.0"/>
        <n v="4832.0"/>
        <n v="4905.0"/>
        <n v="1509.0"/>
        <n v="2143.0"/>
        <n v="1963.0"/>
        <n v="2795.0"/>
      </sharedItems>
    </cacheField>
    <cacheField name="Shares" numFmtId="4">
      <sharedItems containsSemiMixedTypes="0" containsString="0" containsNumber="1" containsInteger="1">
        <n v="772.0"/>
        <n v="594.0"/>
        <n v="126.0"/>
        <n v="158.0"/>
        <n v="711.0"/>
        <n v="680.0"/>
        <n v="928.0"/>
        <n v="94.0"/>
        <n v="116.0"/>
        <n v="550.0"/>
        <n v="453.0"/>
        <n v="190.0"/>
        <n v="173.0"/>
        <n v="930.0"/>
        <n v="925.0"/>
        <n v="874.0"/>
        <n v="831.0"/>
        <n v="111.0"/>
        <n v="476.0"/>
        <n v="338.0"/>
        <n v="78.0"/>
        <n v="555.0"/>
        <n v="517.0"/>
        <n v="148.0"/>
        <n v="47.0"/>
        <n v="19.0"/>
        <n v="498.0"/>
        <n v="686.0"/>
        <n v="941.0"/>
        <n v="400.0"/>
        <n v="726.0"/>
        <n v="297.0"/>
        <n v="824.0"/>
        <n v="514.0"/>
        <n v="266.0"/>
        <n v="653.0"/>
        <n v="134.0"/>
        <n v="640.0"/>
        <n v="48.0"/>
        <n v="511.0"/>
        <n v="119.0"/>
        <n v="808.0"/>
        <n v="851.0"/>
        <n v="566.0"/>
        <n v="51.0"/>
        <n v="628.0"/>
        <n v="252.0"/>
        <n v="248.0"/>
        <n v="187.0"/>
        <n v="714.0"/>
        <n v="697.0"/>
        <n v="397.0"/>
        <n v="504.0"/>
        <n v="17.0"/>
        <n v="547.0"/>
        <n v="465.0"/>
        <n v="377.0"/>
        <n v="667.0"/>
        <n v="106.0"/>
        <n v="754.0"/>
        <n v="935.0"/>
        <n v="33.0"/>
        <n v="265.0"/>
        <n v="553.0"/>
        <n v="525.0"/>
        <n v="629.0"/>
        <n v="761.0"/>
        <n v="902.0"/>
        <n v="145.0"/>
        <n v="532.0"/>
        <n v="89.0"/>
        <n v="652.0"/>
        <n v="253.0"/>
        <n v="426.0"/>
        <n v="568.0"/>
        <n v="931.0"/>
        <n v="385.0"/>
        <n v="604.0"/>
        <n v="451.0"/>
        <n v="31.0"/>
        <n v="897.0"/>
        <n v="770.0"/>
        <n v="643.0"/>
        <n v="784.0"/>
        <n v="746.0"/>
        <n v="701.0"/>
        <n v="932.0"/>
        <n v="675.0"/>
        <n v="616.0"/>
        <n v="590.0"/>
        <n v="153.0"/>
        <n v="951.0"/>
        <n v="690.0"/>
        <n v="164.0"/>
        <n v="649.0"/>
        <n v="375.0"/>
        <n v="658.0"/>
        <n v="118.0"/>
        <n v="749.0"/>
        <n v="888.0"/>
        <n v="695.0"/>
        <n v="466.0"/>
        <n v="569.0"/>
        <n v="624.0"/>
        <n v="304.0"/>
        <n v="973.0"/>
        <n v="459.0"/>
        <n v="363.0"/>
        <n v="464.0"/>
        <n v="414.0"/>
        <n v="842.0"/>
        <n v="694.0"/>
        <n v="38.0"/>
        <n v="623.0"/>
        <n v="753.0"/>
        <n v="929.0"/>
        <n v="501.0"/>
        <n v="16.0"/>
        <n v="796.0"/>
        <n v="614.0"/>
        <n v="405.0"/>
        <n v="149.0"/>
        <n v="59.0"/>
        <n v="417.0"/>
        <n v="382.0"/>
        <n v="519.0"/>
        <n v="167.0"/>
        <n v="818.0"/>
        <n v="61.0"/>
        <n v="29.0"/>
        <n v="263.0"/>
        <n v="137.0"/>
        <n v="771.0"/>
        <n v="527.0"/>
        <n v="376.0"/>
        <n v="821.0"/>
        <n v="88.0"/>
        <n v="125.0"/>
        <n v="837.0"/>
        <n v="869.0"/>
        <n v="892.0"/>
        <n v="285.0"/>
        <n v="960.0"/>
        <n v="559.0"/>
        <n v="917.0"/>
        <n v="488.0"/>
        <n v="39.0"/>
        <n v="299.0"/>
        <n v="62.0"/>
        <n v="592.0"/>
        <n v="81.0"/>
        <n v="163.0"/>
        <n v="978.0"/>
        <n v="171.0"/>
        <n v="470.0"/>
        <n v="745.0"/>
        <n v="354.0"/>
        <n v="857.0"/>
        <n v="765.0"/>
        <n v="195.0"/>
        <n v="374.0"/>
        <n v="10.0"/>
        <n v="197.0"/>
        <n v="877.0"/>
        <n v="430.0"/>
        <n v="177.0"/>
        <n v="249.0"/>
        <n v="215.0"/>
        <n v="752.0"/>
        <n v="344.0"/>
        <n v="43.0"/>
        <n v="313.0"/>
        <n v="340.0"/>
        <n v="983.0"/>
        <n v="866.0"/>
        <n v="151.0"/>
        <n v="967.0"/>
        <n v="115.0"/>
        <n v="689.0"/>
        <n v="876.0"/>
        <n v="236.0"/>
        <n v="836.0"/>
        <n v="121.0"/>
        <n v="549.0"/>
        <n v="366.0"/>
        <n v="871.0"/>
        <n v="317.0"/>
        <n v="911.0"/>
        <n v="626.0"/>
        <n v="209.0"/>
        <n v="184.0"/>
        <n v="262.0"/>
        <n v="77.0"/>
        <n v="593.0"/>
        <n v="192.0"/>
        <n v="546.0"/>
        <n v="717.0"/>
        <n v="204.0"/>
        <n v="324.0"/>
        <n v="135.0"/>
        <n v="535.0"/>
        <n v="494.0"/>
        <n v="750.0"/>
        <n v="389.0"/>
        <n v="295.0"/>
        <n v="201.0"/>
        <n v="596.0"/>
        <n v="721.0"/>
        <n v="66.0"/>
        <n v="97.0"/>
        <n v="277.0"/>
        <n v="211.0"/>
        <n v="13.0"/>
        <n v="302.0"/>
        <n v="325.0"/>
        <n v="217.0"/>
        <n v="362.0"/>
        <n v="966.0"/>
        <n v="639.0"/>
        <n v="942.0"/>
        <n v="789.0"/>
        <n v="820.0"/>
        <n v="186.0"/>
        <n v="904.0"/>
        <n v="472.0"/>
        <n v="971.0"/>
        <n v="238.0"/>
        <n v="794.0"/>
        <n v="130.0"/>
        <n v="200.0"/>
        <n v="123.0"/>
        <n v="273.0"/>
        <n v="884.0"/>
        <n v="915.0"/>
        <n v="210.0"/>
        <n v="886.0"/>
        <n v="447.0"/>
        <n v="226.0"/>
        <n v="156.0"/>
        <n v="92.0"/>
        <n v="352.0"/>
        <n v="413.0"/>
        <n v="439.0"/>
        <n v="60.0"/>
        <n v="533.0"/>
        <n v="286.0"/>
        <n v="548.0"/>
        <n v="275.0"/>
        <n v="691.0"/>
        <n v="239.0"/>
        <n v="687.0"/>
        <n v="305.0"/>
        <n v="853.0"/>
        <n v="90.0"/>
        <n v="893.0"/>
        <n v="845.0"/>
        <n v="12.0"/>
        <n v="213.0"/>
        <n v="105.0"/>
      </sharedItems>
    </cacheField>
    <cacheField name="Comments" numFmtId="4">
      <sharedItems containsSemiMixedTypes="0" containsString="0" containsNumber="1" containsInteger="1">
        <n v="400.0"/>
        <n v="156.0"/>
        <n v="153.0"/>
        <n v="149.0"/>
        <n v="298.0"/>
        <n v="434.0"/>
        <n v="301.0"/>
        <n v="488.0"/>
        <n v="37.0"/>
        <n v="420.0"/>
        <n v="270.0"/>
        <n v="490.0"/>
        <n v="340.0"/>
        <n v="276.0"/>
        <n v="355.0"/>
        <n v="350.0"/>
        <n v="172.0"/>
        <n v="345.0"/>
        <n v="69.0"/>
        <n v="485.0"/>
        <n v="131.0"/>
        <n v="117.0"/>
        <n v="253.0"/>
        <n v="430.0"/>
        <n v="351.0"/>
        <n v="367.0"/>
        <n v="377.0"/>
        <n v="376.0"/>
        <n v="241.0"/>
        <n v="99.0"/>
        <n v="238.0"/>
        <n v="8.0"/>
        <n v="363.0"/>
        <n v="482.0"/>
        <n v="403.0"/>
        <n v="240.0"/>
        <n v="306.0"/>
        <n v="70.0"/>
        <n v="7.0"/>
        <n v="404.0"/>
        <n v="342.0"/>
        <n v="164.0"/>
        <n v="392.0"/>
        <n v="443.0"/>
        <n v="335.0"/>
        <n v="416.0"/>
        <n v="260.0"/>
        <n v="207.0"/>
        <n v="357.0"/>
        <n v="239.0"/>
        <n v="295.0"/>
        <n v="316.0"/>
        <n v="360.0"/>
        <n v="395.0"/>
        <n v="327.0"/>
        <n v="54.0"/>
        <n v="274.0"/>
        <n v="134.0"/>
        <n v="174.0"/>
        <n v="500.0"/>
        <n v="177.0"/>
        <n v="176.0"/>
        <n v="47.0"/>
        <n v="225.0"/>
        <n v="71.0"/>
        <n v="442.0"/>
        <n v="486.0"/>
        <n v="127.0"/>
        <n v="230.0"/>
        <n v="310.0"/>
        <n v="128.0"/>
        <n v="286.0"/>
        <n v="279.0"/>
        <n v="85.0"/>
        <n v="19.0"/>
        <n v="136.0"/>
        <n v="183.0"/>
        <n v="315.0"/>
        <n v="412.0"/>
        <n v="287.0"/>
        <n v="478.0"/>
        <n v="324.0"/>
        <n v="432.0"/>
        <n v="393.0"/>
        <n v="275.0"/>
        <n v="26.0"/>
        <n v="205.0"/>
        <n v="318.0"/>
        <n v="140.0"/>
        <n v="323.0"/>
        <n v="441.0"/>
        <n v="15.0"/>
        <n v="111.0"/>
        <n v="444.0"/>
        <n v="75.0"/>
        <n v="288.0"/>
        <n v="55.0"/>
        <n v="428.0"/>
        <n v="123.0"/>
        <n v="170.0"/>
        <n v="63.0"/>
        <n v="266.0"/>
        <n v="138.0"/>
        <n v="394.0"/>
        <n v="246.0"/>
        <n v="101.0"/>
        <n v="289.0"/>
        <n v="211.0"/>
        <n v="42.0"/>
        <n v="72.0"/>
        <n v="387.0"/>
        <n v="497.0"/>
        <n v="423.0"/>
        <n v="130.0"/>
        <n v="168.0"/>
        <n v="325.0"/>
        <n v="22.0"/>
        <n v="56.0"/>
        <n v="157.0"/>
        <n v="41.0"/>
        <n v="171.0"/>
        <n v="329.0"/>
        <n v="219.0"/>
        <n v="135.0"/>
        <n v="33.0"/>
        <n v="499.0"/>
        <n v="300.0"/>
        <n v="349.0"/>
        <n v="320.0"/>
        <n v="103.0"/>
        <n v="383.0"/>
        <n v="160.0"/>
        <n v="129.0"/>
        <n v="373.0"/>
        <n v="78.0"/>
        <n v="38.0"/>
        <n v="179.0"/>
        <n v="379.0"/>
        <n v="93.0"/>
        <n v="162.0"/>
        <n v="280.0"/>
        <n v="496.0"/>
        <n v="450.0"/>
        <n v="321.0"/>
        <n v="212.0"/>
        <n v="257.0"/>
        <n v="152.0"/>
        <n v="413.0"/>
        <n v="243.0"/>
        <n v="35.0"/>
        <n v="281.0"/>
        <n v="409.0"/>
        <n v="216.0"/>
        <n v="415.0"/>
        <n v="202.0"/>
        <n v="401.0"/>
        <n v="64.0"/>
        <n v="291.0"/>
        <n v="405.0"/>
        <n v="366.0"/>
        <n v="352.0"/>
        <n v="369.0"/>
        <n v="169.0"/>
        <n v="458.0"/>
        <n v="268.0"/>
        <n v="347.0"/>
        <n v="344.0"/>
        <n v="375.0"/>
        <n v="484.0"/>
        <n v="244.0"/>
        <n v="402.0"/>
        <n v="228.0"/>
        <n v="322.0"/>
        <n v="150.0"/>
        <n v="45.0"/>
        <n v="297.0"/>
        <n v="18.0"/>
        <n v="493.0"/>
        <n v="362.0"/>
        <n v="82.0"/>
        <n v="31.0"/>
        <n v="44.0"/>
        <n v="118.0"/>
        <n v="197.0"/>
        <n v="20.0"/>
        <n v="57.0"/>
        <n v="32.0"/>
        <n v="13.0"/>
        <n v="80.0"/>
        <n v="398.0"/>
        <n v="43.0"/>
        <n v="433.0"/>
        <n v="470.0"/>
        <n v="333.0"/>
        <n v="142.0"/>
        <n v="229.0"/>
        <n v="472.0"/>
        <n v="21.0"/>
        <n v="36.0"/>
        <n v="77.0"/>
        <n v="90.0"/>
        <n v="200.0"/>
        <n v="206.0"/>
        <n v="278.0"/>
        <n v="332.0"/>
        <n v="46.0"/>
        <n v="203.0"/>
        <n v="424.0"/>
        <n v="290.0"/>
        <n v="358.0"/>
        <n v="141.0"/>
        <n v="215.0"/>
        <n v="385.0"/>
        <n v="231.0"/>
        <n v="285.0"/>
        <n v="143.0"/>
        <n v="86.0"/>
        <n v="104.0"/>
        <n v="386.0"/>
        <n v="380.0"/>
        <n v="39.0"/>
        <n v="452.0"/>
        <n v="341.0"/>
        <n v="10.0"/>
        <n v="163.0"/>
        <n v="204.0"/>
        <n v="49.0"/>
      </sharedItems>
    </cacheField>
    <cacheField name="Impressions" numFmtId="4">
      <sharedItems containsSemiMixedTypes="0" containsString="0" containsNumber="1" containsInteger="1">
        <n v="3582.0"/>
        <n v="4214.0"/>
        <n v="4430.0"/>
        <n v="3372.0"/>
        <n v="21180.0"/>
        <n v="6400.0"/>
        <n v="8580.0"/>
        <n v="12720.0"/>
        <n v="15040.0"/>
        <n v="8743.0"/>
        <n v="28824.0"/>
        <n v="14952.0"/>
        <n v="28602.0"/>
        <n v="28386.0"/>
        <n v="23560.0"/>
        <n v="24192.0"/>
        <n v="30247.0"/>
        <n v="17410.0"/>
        <n v="31171.0"/>
        <n v="16712.0"/>
        <n v="10417.0"/>
        <n v="18328.0"/>
        <n v="33936.0"/>
        <n v="23229.0"/>
        <n v="30624.0"/>
        <n v="5738.0"/>
        <n v="12570.0"/>
        <n v="29460.0"/>
        <n v="23352.0"/>
        <n v="35156.0"/>
        <n v="16884.0"/>
        <n v="28974.0"/>
        <n v="12320.0"/>
        <n v="41340.0"/>
        <n v="37670.0"/>
        <n v="35640.0"/>
        <n v="25396.0"/>
        <n v="43576.0"/>
        <n v="51579.0"/>
        <n v="50184.0"/>
        <n v="40579.0"/>
        <n v="53292.0"/>
        <n v="14712.0"/>
        <n v="56760.0"/>
        <n v="34979.0"/>
        <n v="48020.0"/>
        <n v="55796.0"/>
        <n v="45832.0"/>
        <n v="29936.0"/>
        <n v="43170.0"/>
        <n v="25120.0"/>
        <n v="68265.0"/>
        <n v="49440.0"/>
        <n v="25260.0"/>
        <n v="37400.0"/>
        <n v="51282.0"/>
        <n v="32120.0"/>
        <n v="24168.0"/>
        <n v="55232.0"/>
        <n v="64532.0"/>
        <n v="50565.0"/>
        <n v="43524.0"/>
        <n v="68634.0"/>
        <n v="44016.0"/>
        <n v="38112.0"/>
        <n v="52241.0"/>
        <n v="60480.0"/>
        <n v="60588.0"/>
        <n v="82824.0"/>
        <n v="67337.0"/>
        <n v="72097.0"/>
        <n v="69945.0"/>
        <n v="37296.0"/>
        <n v="29736.0"/>
        <n v="65588.0"/>
        <n v="75834.0"/>
        <n v="78394.0"/>
        <n v="84816.0"/>
        <n v="92120.0"/>
        <n v="70642.0"/>
        <n v="77760.0"/>
        <n v="86060.0"/>
        <n v="75960.0"/>
        <n v="588.0"/>
        <n v="1030.0"/>
        <n v="1290.0"/>
        <n v="1704.0"/>
        <n v="4168.0"/>
        <n v="4980.0"/>
        <n v="6895.0"/>
        <n v="9850.0"/>
        <n v="6984.0"/>
        <n v="11170.0"/>
        <n v="4680.0"/>
        <n v="3066.0"/>
        <n v="8586.0"/>
        <n v="13015.0"/>
        <n v="8705.0"/>
        <n v="21815.0"/>
        <n v="22505.0"/>
        <n v="22805.0"/>
        <n v="13044.0"/>
        <n v="12830.0"/>
        <n v="21450.0"/>
        <n v="21938.0"/>
        <n v="21606.0"/>
        <n v="24798.0"/>
        <n v="15660.0"/>
        <n v="25062.0"/>
        <n v="8208.0"/>
        <n v="6912.0"/>
        <n v="18529.0"/>
        <n v="11752.0"/>
        <n v="26048.0"/>
        <n v="19232.0"/>
        <n v="14112.0"/>
        <n v="39528.0"/>
        <n v="11882.0"/>
        <n v="21417.0"/>
        <n v="43191.0"/>
        <n v="43560.0"/>
        <n v="4482.0"/>
        <n v="19943.0"/>
        <n v="38753.0"/>
        <n v="21762.0"/>
        <n v="20691.0"/>
        <n v="33975.0"/>
        <n v="22032.0"/>
        <n v="25088.0"/>
        <n v="22906.0"/>
        <n v="4674.0"/>
        <n v="35590.0"/>
        <n v="19344.0"/>
        <n v="36000.0"/>
        <n v="16065.0"/>
        <n v="45738.0"/>
        <n v="57252.0"/>
        <n v="49753.0"/>
        <n v="19976.0"/>
        <n v="30520.0"/>
        <n v="43386.0"/>
        <n v="39884.0"/>
        <n v="60648.0"/>
        <n v="61607.0"/>
        <n v="69285.0"/>
        <n v="14500.0"/>
        <n v="59527.0"/>
        <n v="35819.0"/>
        <n v="72795.0"/>
        <n v="72120.0"/>
        <n v="54912.0"/>
        <n v="39957.0"/>
        <n v="72570.0"/>
        <n v="67770.0"/>
        <n v="69498.0"/>
        <n v="57276.0"/>
        <n v="71630.0"/>
        <n v="77026.0"/>
        <n v="55710.0"/>
        <n v="71687.0"/>
        <n v="37560.0"/>
        <n v="1494.0"/>
        <n v="954.0"/>
        <n v="590.0"/>
        <n v="6000.0"/>
        <n v="3024.0"/>
        <n v="7128.0"/>
        <n v="11262.0"/>
        <n v="10830.0"/>
        <n v="19020.0"/>
        <n v="12924.0"/>
        <n v="9336.0"/>
        <n v="9432.0"/>
        <n v="13668.0"/>
        <n v="6786.0"/>
        <n v="17613.0"/>
        <n v="17176.0"/>
        <n v="8864.0"/>
        <n v="15498.0"/>
        <n v="25543.0"/>
        <n v="21632.0"/>
        <n v="15616.0"/>
        <n v="4575.0"/>
        <n v="22673.0"/>
        <n v="15960.0"/>
        <n v="11836.0"/>
        <n v="34192.0"/>
        <n v="43974.0"/>
        <n v="34299.0"/>
        <n v="38000.0"/>
        <n v="32150.0"/>
        <n v="38010.0"/>
        <n v="21536.0"/>
        <n v="40000.0"/>
        <n v="27828.0"/>
        <n v="20878.0"/>
        <n v="51381.0"/>
        <n v="9707.0"/>
        <n v="44190.0"/>
        <n v="25200.0"/>
        <n v="49676.0"/>
        <n v="14115.0"/>
        <n v="28132.0"/>
        <n v="45840.0"/>
        <n v="19808.0"/>
        <n v="52650.0"/>
        <n v="53438.0"/>
        <n v="35370.0"/>
        <n v="50288.0"/>
        <n v="25840.0"/>
        <n v="19476.0"/>
        <n v="21915.0"/>
        <n v="14436.0"/>
        <n v="14886.0"/>
        <n v="53074.0"/>
        <n v="16722.0"/>
        <n v="27948.0"/>
        <n v="62916.0"/>
        <n v="44240.0"/>
        <n v="19080.0"/>
        <n v="15694.0"/>
        <n v="45200.0"/>
        <n v="53025.0"/>
        <n v="34040.0"/>
        <n v="64864.0"/>
        <n v="37050.0"/>
        <n v="75600.0"/>
        <n v="55965.0"/>
        <n v="61760.0"/>
        <n v="67963.0"/>
        <n v="86076.0"/>
        <n v="66992.0"/>
        <n v="42381.0"/>
        <n v="60084.0"/>
        <n v="59432.0"/>
        <n v="58480.0"/>
        <n v="63973.0"/>
        <n v="88768.0"/>
        <n v="90140.0"/>
        <n v="1040.0"/>
        <n v="3341.0"/>
        <n v="4020.0"/>
        <n v="5152.0"/>
        <n v="23305.0"/>
        <n v="20940.0"/>
        <n v="7878.0"/>
        <n v="12344.0"/>
        <n v="18390.0"/>
        <n v="20334.0"/>
        <n v="25928.0"/>
        <n v="18546.0"/>
        <n v="9846.0"/>
        <n v="39472.0"/>
        <n v="9648.0"/>
        <n v="32895.0"/>
        <n v="36189.0"/>
        <n v="16695.0"/>
        <n v="28242.0"/>
        <n v="34281.0"/>
        <n v="38740.0"/>
        <n v="30612.0"/>
        <n v="22830.0"/>
        <n v="47750.0"/>
        <n v="43219.0"/>
        <n v="55705.0"/>
        <n v="18324.0"/>
        <n v="40051.0"/>
        <n v="32952.0"/>
        <n v="24724.0"/>
        <n v="48243.0"/>
        <n v="42126.0"/>
        <n v="38168.0"/>
        <n v="5624.0"/>
        <n v="44235.0"/>
        <n v="35126.0"/>
        <n v="40920.0"/>
        <n v="60900.0"/>
        <n v="64125.0"/>
        <n v="22249.0"/>
        <n v="40785.0"/>
        <n v="75650.0"/>
        <n v="66736.0"/>
        <n v="33216.0"/>
        <n v="39330.0"/>
        <n v="86040.0"/>
        <n v="60384.0"/>
        <n v="71140.0"/>
        <n v="58276.0"/>
        <n v="93651.0"/>
        <n v="85900.0"/>
        <n v="56988.0"/>
        <n v="91808.0"/>
        <n v="98100.0"/>
        <n v="30180.0"/>
        <n v="40717.0"/>
        <n v="39260.0"/>
        <n v="53105.0"/>
      </sharedItems>
    </cacheField>
    <cacheField name="Reach" numFmtId="4">
      <sharedItems containsSemiMixedTypes="0" containsString="0" containsNumber="1" containsInteger="1">
        <n v="2988.0"/>
        <n v="3363.0"/>
        <n v="4037.0"/>
        <n v="2940.0"/>
        <n v="20516.0"/>
        <n v="5472.0"/>
        <n v="8081.0"/>
        <n v="12085.0"/>
        <n v="14639.0"/>
        <n v="8538.0"/>
        <n v="28370.0"/>
        <n v="14309.0"/>
        <n v="28044.0"/>
        <n v="28185.0"/>
        <n v="23275.0"/>
        <n v="23518.0"/>
        <n v="29254.0"/>
        <n v="16844.0"/>
        <n v="30565.0"/>
        <n v="16309.0"/>
        <n v="9730.0"/>
        <n v="18101.0"/>
        <n v="33802.0"/>
        <n v="22331.0"/>
        <n v="30229.0"/>
        <n v="4890.0"/>
        <n v="11660.0"/>
        <n v="28527.0"/>
        <n v="22982.0"/>
        <n v="34444.0"/>
        <n v="15954.0"/>
        <n v="28102.0"/>
        <n v="11978.0"/>
        <n v="41050.0"/>
        <n v="36807.0"/>
        <n v="34850.0"/>
        <n v="25286.0"/>
        <n v="43338.0"/>
        <n v="50924.0"/>
        <n v="49351.0"/>
        <n v="39588.0"/>
        <n v="53082.0"/>
        <n v="14049.0"/>
        <n v="56343.0"/>
        <n v="34154.0"/>
        <n v="47305.0"/>
        <n v="54826.0"/>
        <n v="45632.0"/>
        <n v="29576.0"/>
        <n v="42667.0"/>
        <n v="24613.0"/>
        <n v="67754.0"/>
        <n v="48524.0"/>
        <n v="24615.0"/>
        <n v="36938.0"/>
        <n v="50567.0"/>
        <n v="31736.0"/>
        <n v="23719.0"/>
        <n v="55075.0"/>
        <n v="63550.0"/>
        <n v="49816.0"/>
        <n v="42743.0"/>
        <n v="68488.0"/>
        <n v="43415.0"/>
        <n v="37437.0"/>
        <n v="51605.0"/>
        <n v="59610.0"/>
        <n v="59627.0"/>
        <n v="82543.0"/>
        <n v="66615.0"/>
        <n v="71598.0"/>
        <n v="69596.0"/>
        <n v="36467.0"/>
        <n v="28771.0"/>
        <n v="65049.0"/>
        <n v="75437.0"/>
        <n v="77798.0"/>
        <n v="84691.0"/>
        <n v="91440.0"/>
        <n v="69749.0"/>
        <n v="77167.0"/>
        <n v="85823.0"/>
        <n v="75813.0"/>
        <n v="8.0"/>
        <n v="410.0"/>
        <n v="839.0"/>
        <n v="995.0"/>
        <n v="3399.0"/>
        <n v="4185.0"/>
        <n v="6757.0"/>
        <n v="8924.0"/>
        <n v="6636.0"/>
        <n v="10569.0"/>
        <n v="4322.0"/>
        <n v="2701.0"/>
        <n v="8396.0"/>
        <n v="12130.0"/>
        <n v="8272.0"/>
        <n v="21481.0"/>
        <n v="21836.0"/>
        <n v="21890.0"/>
        <n v="12206.0"/>
        <n v="12264.0"/>
        <n v="20785.0"/>
        <n v="21337.0"/>
        <n v="21454.0"/>
        <n v="24620.0"/>
        <n v="15145.0"/>
        <n v="24847.0"/>
        <n v="7377.0"/>
        <n v="6259.0"/>
        <n v="17841.0"/>
        <n v="11580.0"/>
        <n v="25529.0"/>
        <n v="18636.0"/>
        <n v="13588.0"/>
        <n v="39154.0"/>
        <n v="11500.0"/>
        <n v="20967.0"/>
        <n v="42228.0"/>
        <n v="43225.0"/>
        <n v="3647.0"/>
        <n v="18959.0"/>
        <n v="38579.0"/>
        <n v="20998.0"/>
        <n v="19987.0"/>
        <n v="33310.0"/>
        <n v="21869.0"/>
        <n v="24675.0"/>
        <n v="21925.0"/>
        <n v="4390.0"/>
        <n v="35105.0"/>
        <n v="18395.0"/>
        <n v="35819.0"/>
        <n v="15865.0"/>
        <n v="45183.0"/>
        <n v="56378.0"/>
        <n v="49329.0"/>
        <n v="19262.0"/>
        <n v="30059.0"/>
        <n v="42921.0"/>
        <n v="39404.0"/>
        <n v="60397.0"/>
        <n v="61333.0"/>
        <n v="20509.0"/>
        <n v="69141.0"/>
        <n v="13637.0"/>
        <n v="59400.0"/>
        <n v="35340.0"/>
        <n v="72237.0"/>
        <n v="71696.0"/>
        <n v="53916.0"/>
        <n v="39466.0"/>
        <n v="72396.0"/>
        <n v="67621.0"/>
        <n v="68817.0"/>
        <n v="56890.0"/>
        <n v="71322.0"/>
        <n v="76881.0"/>
        <n v="54808.0"/>
        <n v="71447.0"/>
        <n v="36874.0"/>
        <n v="1044.0"/>
        <n v="7.0"/>
        <n v="475.0"/>
        <n v="5221.0"/>
        <n v="2285.0"/>
        <n v="6145.0"/>
        <n v="10967.0"/>
        <n v="10245.0"/>
        <n v="18559.0"/>
        <n v="12701.0"/>
        <n v="8875.0"/>
        <n v="8882.0"/>
        <n v="12676.0"/>
        <n v="12564.0"/>
        <n v="6221.0"/>
        <n v="16865.0"/>
        <n v="16483.0"/>
        <n v="8710.0"/>
        <n v="14800.0"/>
        <n v="24963.0"/>
        <n v="20792.0"/>
        <n v="15403.0"/>
        <n v="3704.0"/>
        <n v="22171.0"/>
        <n v="15379.0"/>
        <n v="11596.0"/>
        <n v="33446.0"/>
        <n v="43239.0"/>
        <n v="34088.0"/>
        <n v="37792.0"/>
        <n v="31404.0"/>
        <n v="37625.0"/>
        <n v="21120.0"/>
        <n v="39569.0"/>
        <n v="27217.0"/>
        <n v="20190.0"/>
        <n v="50565.0"/>
        <n v="9418.0"/>
        <n v="43582.0"/>
        <n v="24826.0"/>
        <n v="49257.0"/>
        <n v="13838.0"/>
        <n v="27361.0"/>
        <n v="45631.0"/>
        <n v="19334.0"/>
        <n v="51755.0"/>
        <n v="52687.0"/>
        <n v="34475.0"/>
        <n v="49490.0"/>
        <n v="24916.0"/>
        <n v="18654.0"/>
        <n v="21675.0"/>
        <n v="14280.0"/>
        <n v="14129.0"/>
        <n v="52613.0"/>
        <n v="15996.0"/>
        <n v="27184.0"/>
        <n v="62688.0"/>
        <n v="43666.0"/>
        <n v="18859.0"/>
        <n v="14957.0"/>
        <n v="44739.0"/>
        <n v="52791.0"/>
        <n v="33174.0"/>
        <n v="64383.0"/>
        <n v="36272.0"/>
        <n v="74927.0"/>
        <n v="55436.0"/>
        <n v="61660.0"/>
        <n v="67839.0"/>
        <n v="85339.0"/>
        <n v="66614.0"/>
        <n v="41991.0"/>
        <n v="59842.0"/>
        <n v="59182.0"/>
        <n v="58146.0"/>
        <n v="63789.0"/>
        <n v="87833.0"/>
        <n v="89591.0"/>
        <n v="349.0"/>
        <n v="2753.0"/>
        <n v="3144.0"/>
        <n v="4706.0"/>
        <n v="22583.0"/>
        <n v="20471.0"/>
        <n v="7389.0"/>
        <n v="11496.0"/>
        <n v="17875.0"/>
        <n v="19443.0"/>
        <n v="25081.0"/>
        <n v="18171.0"/>
        <n v="9609.0"/>
        <n v="39025.0"/>
        <n v="9417.0"/>
        <n v="32015.0"/>
        <n v="35505.0"/>
        <n v="21288.0"/>
        <n v="16330.0"/>
        <n v="27550.0"/>
        <n v="33534.0"/>
        <n v="38552.0"/>
        <n v="30360.0"/>
        <n v="22617.0"/>
        <n v="47544.0"/>
        <n v="42841.0"/>
        <n v="55556.0"/>
        <n v="18164.0"/>
        <n v="39319.0"/>
        <n v="32147.0"/>
        <n v="24333.0"/>
        <n v="47579.0"/>
        <n v="41309.0"/>
        <n v="37571.0"/>
        <n v="5239.0"/>
        <n v="43705.0"/>
        <n v="34685.0"/>
        <n v="40816.0"/>
        <n v="60592.0"/>
        <n v="63650.0"/>
        <n v="21282.0"/>
        <n v="40281.0"/>
        <n v="75008.0"/>
        <n v="66634.0"/>
        <n v="32244.0"/>
        <n v="38627.0"/>
        <n v="85743.0"/>
        <n v="59490.0"/>
        <n v="70701.0"/>
        <n v="58052.0"/>
        <n v="92810.0"/>
        <n v="85788.0"/>
        <n v="56125.0"/>
        <n v="91296.0"/>
        <n v="97772.0"/>
        <n v="29689.0"/>
        <n v="40125.0"/>
        <n v="38771.0"/>
        <n v="52307.0"/>
      </sharedItems>
    </cacheField>
    <cacheField name="Clicks" numFmtId="4">
      <sharedItems containsSemiMixedTypes="0" containsString="0" containsNumber="1" containsInteger="1">
        <n v="43.0"/>
        <n v="164.0"/>
        <n v="212.0"/>
        <n v="93.0"/>
        <n v="238.0"/>
        <n v="160.0"/>
        <n v="91.0"/>
        <n v="17.0"/>
        <n v="277.0"/>
        <n v="63.0"/>
        <n v="47.0"/>
        <n v="275.0"/>
        <n v="210.0"/>
        <n v="89.0"/>
        <n v="256.0"/>
        <n v="36.0"/>
        <n v="122.0"/>
        <n v="58.0"/>
        <n v="23.0"/>
        <n v="64.0"/>
        <n v="34.0"/>
        <n v="10.0"/>
        <n v="265.0"/>
        <n v="70.0"/>
        <n v="235.0"/>
        <n v="25.0"/>
        <n v="194.0"/>
        <n v="60.0"/>
        <n v="213.0"/>
        <n v="241.0"/>
        <n v="113.0"/>
        <n v="177.0"/>
        <n v="226.0"/>
        <n v="208.0"/>
        <n v="39.0"/>
        <n v="240.0"/>
        <n v="173.0"/>
        <n v="159.0"/>
        <n v="123.0"/>
        <n v="131.0"/>
        <n v="255.0"/>
        <n v="120.0"/>
        <n v="264.0"/>
        <n v="248.0"/>
        <n v="288.0"/>
        <n v="75.0"/>
        <n v="133.0"/>
        <n v="57.0"/>
        <n v="137.0"/>
        <n v="225.0"/>
        <n v="84.0"/>
        <n v="42.0"/>
        <n v="87.0"/>
        <n v="292.0"/>
        <n v="176.0"/>
        <n v="182.0"/>
        <n v="251.0"/>
        <n v="129.0"/>
        <n v="249.0"/>
        <n v="246.0"/>
        <n v="192.0"/>
        <n v="92.0"/>
        <n v="161.0"/>
        <n v="167.0"/>
        <n v="35.0"/>
        <n v="215.0"/>
        <n v="158.0"/>
        <n v="272.0"/>
        <n v="88.0"/>
        <n v="100.0"/>
        <n v="56.0"/>
        <n v="233.0"/>
        <n v="20.0"/>
        <n v="14.0"/>
        <n v="266.0"/>
        <n v="12.0"/>
        <n v="262.0"/>
        <n v="154.0"/>
        <n v="282.0"/>
        <n v="185.0"/>
        <n v="117.0"/>
        <n v="82.0"/>
        <n v="198.0"/>
        <n v="150.0"/>
        <n v="121.0"/>
        <n v="157.0"/>
        <n v="132.0"/>
        <n v="45.0"/>
        <n v="221.0"/>
        <n v="195.0"/>
        <n v="130.0"/>
        <n v="172.0"/>
        <n v="73.0"/>
        <n v="230.0"/>
        <n v="205.0"/>
        <n v="79.0"/>
        <n v="46.0"/>
        <n v="143.0"/>
        <n v="128.0"/>
        <n v="217.0"/>
        <n v="186.0"/>
        <n v="118.0"/>
        <n v="32.0"/>
        <n v="85.0"/>
        <n v="270.0"/>
        <n v="289.0"/>
        <n v="271.0"/>
        <n v="189.0"/>
        <n v="65.0"/>
        <n v="30.0"/>
        <n v="19.0"/>
        <n v="103.0"/>
        <n v="142.0"/>
        <n v="71.0"/>
        <n v="283.0"/>
        <n v="174.0"/>
        <n v="52.0"/>
        <n v="298.0"/>
        <n v="200.0"/>
        <n v="269.0"/>
        <n v="191.0"/>
        <n v="170.0"/>
        <n v="28.0"/>
        <n v="83.0"/>
        <n v="31.0"/>
        <n v="297.0"/>
        <n v="163.0"/>
        <n v="76.0"/>
        <n v="286.0"/>
        <n v="201.0"/>
        <n v="148.0"/>
        <n v="293.0"/>
        <n v="223.0"/>
        <n v="184.0"/>
        <n v="41.0"/>
        <n v="24.0"/>
        <n v="197.0"/>
        <n v="21.0"/>
        <n v="97.0"/>
        <n v="180.0"/>
        <n v="127.0"/>
        <n v="234.0"/>
        <n v="229.0"/>
        <n v="104.0"/>
        <n v="299.0"/>
        <n v="236.0"/>
        <n v="224.0"/>
        <n v="44.0"/>
        <n v="102.0"/>
        <n v="219.0"/>
        <n v="245.0"/>
        <n v="231.0"/>
        <n v="171.0"/>
        <n v="209.0"/>
        <n v="216.0"/>
        <n v="149.0"/>
        <n v="15.0"/>
        <n v="49.0"/>
        <n v="254.0"/>
        <n v="145.0"/>
        <n v="300.0"/>
        <n v="99.0"/>
        <n v="169.0"/>
        <n v="119.0"/>
        <n v="53.0"/>
        <n v="62.0"/>
        <n v="242.0"/>
        <n v="252.0"/>
        <n v="125.0"/>
        <n v="287.0"/>
        <n v="11.0"/>
        <n v="239.0"/>
        <n v="228.0"/>
        <n v="112.0"/>
        <n v="237.0"/>
        <n v="199.0"/>
        <n v="227.0"/>
        <n v="187.0"/>
        <n v="51.0"/>
        <n v="38.0"/>
        <n v="296.0"/>
        <n v="147.0"/>
        <n v="211.0"/>
        <n v="22.0"/>
        <n v="135.0"/>
        <n v="114.0"/>
        <n v="40.0"/>
        <n v="66.0"/>
        <n v="290.0"/>
        <n v="279.0"/>
        <n v="204.0"/>
      </sharedItems>
    </cacheField>
    <cacheField name="Hashtag_Clean_1" numFmtId="0">
      <sharedItems>
        <s v="PepsiCoRefresh"/>
        <s v="ThirstyForMore"/>
        <s v="LiveForNow"/>
      </sharedItems>
    </cacheField>
    <cacheField name="hashtag_clean2" numFmtId="0">
      <sharedItems>
        <s v=""/>
        <s v="SmoothLikeNitroPepsi"/>
        <s v="AnytimeIsPepsiTime"/>
        <s v="ThirstyForMore"/>
        <s v="PepsiCoRefresh"/>
        <s v="BetterWithPepsi"/>
      </sharedItems>
    </cacheField>
    <cacheField name="hashtag_clean3" numFmtId="0">
      <sharedItems>
        <s v=""/>
        <s v="ThirstyForMore"/>
        <s v="BetterWithPepsi"/>
        <s v="AnytimeIsPepsiTime"/>
      </sharedItems>
    </cacheField>
    <cacheField name="Engagement_Rate" numFmtId="10">
      <sharedItems containsSemiMixedTypes="0" containsString="0" containsNumber="1">
        <n v="0.38274706867671693"/>
        <n v="0.32083531086853345"/>
        <n v="0.26297968397291194"/>
        <n v="0.25771055753262156"/>
        <n v="0.2476392823418319"/>
        <n v="0.2365625"/>
        <n v="0.23414918414918415"/>
        <n v="0.21745283018867925"/>
        <n v="0.2087101063829787"/>
        <n v="0.20416333066453163"/>
        <n v="0.19511518179295032"/>
        <n v="0.18806848582129482"/>
        <n v="0.1851968393818614"/>
        <n v="0.18248432325794406"/>
        <n v="0.17954159592529711"/>
        <n v="0.17770337301587302"/>
        <n v="0.1774390848679208"/>
        <n v="0.1675473865594486"/>
        <n v="0.1598922075005614"/>
        <n v="0.15761129727142173"/>
        <n v="0.1569549774407219"/>
        <n v="0.15571802706241816"/>
        <n v="0.14521452145214522"/>
        <n v="0.13840458048129492"/>
        <n v="0.13809430512016718"/>
        <n v="0.1357615894039735"/>
        <n v="0.1294351630867144"/>
        <n v="0.12936184657162253"/>
        <n v="0.12885405960945528"/>
        <n v="0.1283706906360223"/>
        <n v="0.12781331438047855"/>
        <n v="0.12428384068475185"/>
        <n v="0.12353896103896105"/>
        <n v="0.12232704402515723"/>
        <n v="0.1199628351473321"/>
        <n v="0.11879910213243547"/>
        <n v="0.11143487163332809"/>
        <n v="0.1095786671562328"/>
        <n v="0.10132030477519921"/>
        <n v="0.10086880280567512"/>
        <n v="0.09963281500283398"/>
        <n v="0.09423553253771673"/>
        <n v="0.09189777052746058"/>
        <n v="0.08801973220577872"/>
        <n v="0.08673775693987822"/>
        <n v="0.08663057059558517"/>
        <n v="0.084862714173059"/>
        <n v="0.0821914819340199"/>
        <n v="0.0821084981293426"/>
        <n v="0.08204771832290943"/>
        <n v="0.08029458598726115"/>
        <n v="0.08015820698747528"/>
        <n v="0.07991504854368932"/>
        <n v="0.07984956452889945"/>
        <n v="0.07868983957219251"/>
        <n v="0.07751257751257751"/>
        <n v="0.07686799501867995"/>
        <n v="0.0759682224428997"/>
        <n v="0.07584371378910776"/>
        <n v="0.07528048100167359"/>
        <n v="0.07522990210619994"/>
        <n v="0.07412002573292896"/>
        <n v="0.07317073170731707"/>
        <n v="0.0730189022173755"/>
        <n v="0.0729691435768262"/>
        <n v="0.07273980207117016"/>
        <n v="0.07250330687830688"/>
        <n v="0.07212649369512114"/>
        <n v="0.07211677774558099"/>
        <n v="0.07207033280365921"/>
        <n v="0.07198635172059864"/>
        <n v="0.07195653727929087"/>
        <n v="0.07172350922350923"/>
        <n v="0.07055421038471886"/>
        <n v="0.06931145941330731"/>
        <n v="0.06461481657304112"/>
        <n v="0.06426512233079062"/>
        <n v="0.06374976419543482"/>
        <n v="0.06260312635692575"/>
        <n v="0.06246991874522239"/>
        <n v="0.05941358024691358"/>
        <n v="0.058563792702765516"/>
        <n v="0.0540810953133228"/>
        <n v="1.8129251700680271"/>
        <n v="0.8660194174757282"/>
        <n v="0.703875968992248"/>
        <n v="0.6508215962441315"/>
        <n v="0.3795585412667946"/>
        <n v="0.32349397590361445"/>
        <n v="0.31965192168237855"/>
        <n v="0.3170558375634518"/>
        <n v="0.30126002290950743"/>
        <n v="0.2971351835273053"/>
        <n v="0.28696581196581195"/>
        <n v="0.28245270711024134"/>
        <n v="0.28045655718611695"/>
        <n v="0.26876680752977333"/>
        <n v="0.2553704767375072"/>
        <n v="0.2361677744671098"/>
        <n v="0.23101532992668297"/>
        <n v="0.22157421618066214"/>
        <n v="0.21826126954921804"/>
        <n v="0.21208106001558846"/>
        <n v="0.20675990675990677"/>
        <n v="0.20357370772176134"/>
        <n v="0.2023049153013052"/>
        <n v="0.19864505202032423"/>
        <n v="0.19310344827586207"/>
        <n v="0.19156491900087783"/>
        <n v="0.18433235867446393"/>
        <n v="0.17057291666666666"/>
        <n v="0.16843866371633656"/>
        <n v="0.1650782845473111"/>
        <n v="0.15283323095823095"/>
        <n v="0.15105033277870217"/>
        <n v="0.1441326530612245"/>
        <n v="0.14220299534507186"/>
        <n v="0.1366773270493183"/>
        <n v="0.13493953401503478"/>
        <n v="0.13387048227640017"/>
        <n v="0.13106060606060607"/>
        <n v="0.12896028558679162"/>
        <n v="0.12575841147269717"/>
        <n v="0.12277759141227776"/>
        <n v="0.12131237937689551"/>
        <n v="0.11990720603160794"/>
        <n v="0.11861662987490802"/>
        <n v="0.11619462599854757"/>
        <n v="0.11571269132653061"/>
        <n v="0.11307081114118571"/>
        <n v="0.1123234916559692"/>
        <n v="0.10977802753582468"/>
        <n v="0.1071650124069479"/>
        <n v="0.10297222222222223"/>
        <n v="0.10034235916588857"/>
        <n v="0.0998294634658271"/>
        <n v="0.09859917557465242"/>
        <n v="0.09529073623701083"/>
        <n v="0.09441329595514618"/>
        <n v="0.09272608125819135"/>
        <n v="0.09136587839395197"/>
        <n v="0.08860696018453515"/>
        <n v="0.08775227542540562"/>
        <n v="0.08766860908662977"/>
        <n v="0.08573426573426574"/>
        <n v="0.08571840946813884"/>
        <n v="0.08558620689655172"/>
        <n v="0.08406269423958876"/>
        <n v="0.083921940869371"/>
        <n v="0.08283535957139913"/>
        <n v="0.08180809761508596"/>
        <n v="0.08056526806526806"/>
        <n v="0.07753334834947569"/>
        <n v="0.07724955215653852"/>
        <n v="0.07652353548767891"/>
        <n v="0.07082218193329304"/>
        <n v="0.06810880648089951"/>
        <n v="0.06723439899483456"/>
        <n v="0.06380962272479422"/>
        <n v="0.057655717106444085"/>
        <n v="0.05733257075899396"/>
        <n v="0.05641640042598509"/>
        <n v="0.7168674698795181"/>
        <n v="0.5377358490566038"/>
        <n v="0.5338983050847458"/>
        <n v="0.3566666666666667"/>
        <n v="0.2919973544973545"/>
        <n v="0.2570145903479237"/>
        <n v="0.25279701651571657"/>
        <n v="0.24349030470914126"/>
        <n v="0.2316508937960042"/>
        <n v="0.20868152274837512"/>
        <n v="0.2015852613538989"/>
        <n v="0.1984732824427481"/>
        <n v="0.1908838162130524"/>
        <n v="0.18632075471698112"/>
        <n v="0.17801355732390214"/>
        <n v="0.17441662408448305"/>
        <n v="0.17291569632044715"/>
        <n v="0.16888537906137185"/>
        <n v="0.1687314492192541"/>
        <n v="0.16744313510550835"/>
        <n v="0.16683616863905326"/>
        <n v="0.16540727459016394"/>
        <n v="0.16065573770491803"/>
        <n v="0.15405989502933004"/>
        <n v="0.14348370927318296"/>
        <n v="0.14320716458262928"/>
        <n v="0.1431621431913898"/>
        <n v="0.14276618001546368"/>
        <n v="0.14265722032712325"/>
        <n v="0.13989473684210527"/>
        <n v="0.13614307931570763"/>
        <n v="0.13599052880820836"/>
        <n v="0.13331166419019316"/>
        <n v="0.129425"/>
        <n v="0.1253773178094006"/>
        <n v="0.11792317271769326"/>
        <n v="0.11508145034156594"/>
        <n v="0.11465952405480581"/>
        <n v="0.11369088028965829"/>
        <n v="0.11238095238095239"/>
        <n v="0.11114018842096787"/>
        <n v="0.10768685795253277"/>
        <n v="0.10617801791554102"/>
        <n v="0.1043848167539267"/>
        <n v="0.10339256865912763"/>
        <n v="0.10005698005698006"/>
        <n v="0.09925521164714249"/>
        <n v="0.09855810008481765"/>
        <n v="0.09700127266942411"/>
        <n v="0.09342105263157895"/>
        <n v="0.09113781063873486"/>
        <n v="0.09075975359342915"/>
        <n v="0.09060681629260182"/>
        <n v="0.08773344081687491"/>
        <n v="0.0868975392847722"/>
        <n v="0.0862935055615357"/>
        <n v="0.0837269214255045"/>
        <n v="0.08353995803929049"/>
        <n v="0.08275316455696202"/>
        <n v="0.0820754716981132"/>
        <n v="0.08117752007136485"/>
        <n v="0.08086283185840708"/>
        <n v="0.07884959924563885"/>
        <n v="0.07729142185663924"/>
        <n v="0.07609768130241737"/>
        <n v="0.07349527665317139"/>
        <n v="0.07257936507936508"/>
        <n v="0.07113374430447601"/>
        <n v="0.0702720207253886"/>
        <n v="0.06865500345776378"/>
        <n v="0.06488452065616432"/>
        <n v="0.0639479340816814"/>
        <n v="0.062150491965739366"/>
        <n v="0.062129685107516146"/>
        <n v="0.059496567505720827"/>
        <n v="0.05938782489740082"/>
        <n v="0.05824332140121614"/>
        <n v="0.05665329848594088"/>
        <n v="0.0525515864211227"/>
        <n v="0.5019230769230769"/>
        <n v="0.48518407662376534"/>
        <n v="0.36965174129353234"/>
        <n v="0.3361801242236025"/>
        <n v="0.2586998498176357"/>
        <n v="0.25062082139446035"/>
        <n v="0.23673521198273673"/>
        <n v="0.21840570317563188"/>
        <n v="0.21636759108210984"/>
        <n v="0.1948460706206354"/>
        <n v="0.16769515581610614"/>
        <n v="0.1651029871670441"/>
        <n v="0.1611822059719683"/>
        <n v="0.15355188488042157"/>
        <n v="0.15339966832504145"/>
        <n v="0.13707250341997265"/>
        <n v="0.13517919809886983"/>
        <n v="0.13498547567175018"/>
        <n v="0.13351302785265048"/>
        <n v="0.12577012959422137"/>
        <n v="0.12490884163239112"/>
        <n v="0.123309241094476"/>
        <n v="0.1199202926956749"/>
        <n v="0.11489268506351293"/>
        <n v="0.10793717277486911"/>
        <n v="0.10340359564080613"/>
        <n v="0.09957813481734135"/>
        <n v="0.09806810740013097"/>
        <n v="0.09770043194926468"/>
        <n v="0.09422796795338674"/>
        <n v="0.09229898074745187"/>
        <n v="0.09023070704558174"/>
        <n v="0.0897308075772682"/>
        <n v="0.08957765667574932"/>
        <n v="0.08837126600284495"/>
        <n v="0.08653780942692438"/>
        <n v="0.08552069691966065"/>
        <n v="0.08494623655913978"/>
        <n v="0.08420361247947455"/>
        <n v="0.08327485380116958"/>
        <n v="0.0758685783630725"/>
        <n v="0.07407134976094153"/>
        <n v="0.07370786516853933"/>
        <n v="0.07200011987532966"/>
        <n v="0.0715016859344894"/>
        <n v="0.06943808797355708"/>
        <n v="0.06800325430032543"/>
        <n v="0.06710386857445681"/>
        <n v="0.06561709305594603"/>
        <n v="0.06551582126432837"/>
        <n v="0.06545578797877225"/>
        <n v="0.06371362048894062"/>
        <n v="0.06311855127395241"/>
        <n v="0.06246732310909724"/>
        <n v="0.059928644240570844"/>
        <n v="0.0583167660702452"/>
        <n v="0.05793648844463001"/>
        <n v="0.05590932246561386"/>
        <n v="0.05553149420958479"/>
      </sharedItems>
    </cacheField>
    <cacheField name="Post_Date_Num" numFmtId="164">
      <sharedItems containsSemiMixedTypes="0" containsDate="1" containsString="0">
        <d v="2025-04-02T00:00:00Z"/>
        <d v="2025-05-13T00:00:00Z"/>
        <d v="2025-02-02T00:00:00Z"/>
        <d v="2025-02-10T00:00:00Z"/>
        <d v="2025-04-06T00:00:00Z"/>
        <d v="2024-10-11T00:00:00Z"/>
        <d v="2024-10-21T00:00:00Z"/>
        <d v="2024-11-25T00:00:00Z"/>
        <d v="2024-07-31T00:00:00Z"/>
        <d v="2025-03-04T00:00:00Z"/>
        <d v="2025-04-22T00:00:00Z"/>
        <d v="2024-06-11T00:00:00Z"/>
        <d v="2024-07-07T00:00:00Z"/>
        <d v="2024-06-19T00:00:00Z"/>
        <d v="2024-10-31T00:00:00Z"/>
        <d v="2025-01-06T00:00:00Z"/>
        <d v="2025-01-18T00:00:00Z"/>
        <d v="2024-08-05T00:00:00Z"/>
        <d v="2025-03-23T00:00:00Z"/>
        <d v="2025-04-28T00:00:00Z"/>
        <d v="2025-01-03T00:00:00Z"/>
        <d v="2024-07-15T00:00:00Z"/>
        <d v="2025-02-16T00:00:00Z"/>
        <d v="2024-08-26T00:00:00Z"/>
        <d v="2024-06-22T00:00:00Z"/>
        <d v="2024-08-19T00:00:00Z"/>
        <d v="2024-12-18T00:00:00Z"/>
        <d v="2024-07-21T00:00:00Z"/>
        <d v="2024-12-22T00:00:00Z"/>
        <d v="2024-08-21T00:00:00Z"/>
        <d v="2025-05-14T00:00:00Z"/>
        <d v="2024-11-17T00:00:00Z"/>
        <d v="2025-01-12T00:00:00Z"/>
        <d v="2025-04-03T00:00:00Z"/>
        <d v="2024-08-27T00:00:00Z"/>
        <d v="2024-10-08T00:00:00Z"/>
        <d v="2024-10-22T00:00:00Z"/>
        <d v="2025-05-05T00:00:00Z"/>
        <d v="2024-06-17T00:00:00Z"/>
        <d v="2024-08-30T00:00:00Z"/>
        <d v="2024-12-09T00:00:00Z"/>
        <d v="2025-04-01T00:00:00Z"/>
        <d v="2024-08-24T00:00:00Z"/>
        <d v="2025-05-01T00:00:00Z"/>
        <d v="2024-06-02T00:00:00Z"/>
        <d v="2024-08-17T00:00:00Z"/>
        <d v="2025-02-27T00:00:00Z"/>
        <d v="2024-11-04T00:00:00Z"/>
        <d v="2025-03-24T00:00:00Z"/>
        <d v="2024-06-13T00:00:00Z"/>
        <d v="2024-11-06T00:00:00Z"/>
        <d v="2024-06-01T00:00:00Z"/>
        <d v="2024-11-01T00:00:00Z"/>
        <d v="2024-11-12T00:00:00Z"/>
        <d v="2024-11-28T00:00:00Z"/>
        <d v="2025-03-08T00:00:00Z"/>
        <d v="2024-08-14T00:00:00Z"/>
        <d v="2025-05-06T00:00:00Z"/>
        <d v="2025-01-23T00:00:00Z"/>
        <d v="2025-03-11T00:00:00Z"/>
        <d v="2025-02-06T00:00:00Z"/>
        <d v="2025-03-26T00:00:00Z"/>
        <d v="2025-01-27T00:00:00Z"/>
        <d v="2024-10-18T00:00:00Z"/>
        <d v="2025-03-29T00:00:00Z"/>
        <d v="2024-12-03T00:00:00Z"/>
        <d v="2025-04-07T00:00:00Z"/>
        <d v="2024-10-24T00:00:00Z"/>
        <d v="2024-06-20T00:00:00Z"/>
        <d v="2025-04-15T00:00:00Z"/>
        <d v="2024-11-07T00:00:00Z"/>
        <d v="2025-01-17T00:00:00Z"/>
        <d v="2024-12-23T00:00:00Z"/>
        <d v="2024-07-29T00:00:00Z"/>
        <d v="2024-10-09T00:00:00Z"/>
        <d v="2025-02-07T00:00:00Z"/>
        <d v="2024-08-15T00:00:00Z"/>
        <d v="2025-01-01T00:00:00Z"/>
        <d v="2024-12-17T00:00:00Z"/>
        <d v="2024-12-16T00:00:00Z"/>
        <d v="2024-12-11T00:00:00Z"/>
        <d v="2024-08-20T00:00:00Z"/>
        <d v="2024-08-07T00:00:00Z"/>
        <d v="2024-06-14T00:00:00Z"/>
        <d v="2025-04-08T00:00:00Z"/>
        <d v="2024-11-05T00:00:00Z"/>
        <d v="2024-12-14T00:00:00Z"/>
        <d v="2025-01-31T00:00:00Z"/>
        <d v="2024-10-17T00:00:00Z"/>
        <d v="2024-07-11T00:00:00Z"/>
        <d v="2024-12-08T00:00:00Z"/>
        <d v="2025-04-19T00:00:00Z"/>
        <d v="2025-01-28T00:00:00Z"/>
        <d v="2024-08-12T00:00:00Z"/>
        <d v="2024-11-29T00:00:00Z"/>
        <d v="2025-03-27T00:00:00Z"/>
        <d v="2024-07-03T00:00:00Z"/>
        <d v="2024-12-19T00:00:00Z"/>
        <d v="2024-08-01T00:00:00Z"/>
        <d v="2025-03-28T00:00:00Z"/>
        <d v="2024-11-30T00:00:00Z"/>
        <d v="2024-08-11T00:00:00Z"/>
        <d v="2024-06-12T00:00:00Z"/>
        <d v="2024-07-26T00:00:00Z"/>
        <d v="2024-10-03T00:00:00Z"/>
        <d v="2024-06-23T00:00:00Z"/>
        <d v="2025-01-11T00:00:00Z"/>
        <d v="2024-10-19T00:00:00Z"/>
        <d v="2024-07-10T00:00:00Z"/>
        <d v="2025-02-12T00:00:00Z"/>
        <d v="2024-08-13T00:00:00Z"/>
        <d v="2025-02-04T00:00:00Z"/>
        <d v="2024-07-24T00:00:00Z"/>
        <d v="2025-04-13T00:00:00Z"/>
        <d v="2024-12-20T00:00:00Z"/>
        <d v="2024-10-27T00:00:00Z"/>
        <d v="2024-07-01T00:00:00Z"/>
        <d v="2024-10-02T00:00:00Z"/>
        <d v="2025-01-04T00:00:00Z"/>
        <d v="2024-06-03T00:00:00Z"/>
        <d v="2024-11-08T00:00:00Z"/>
        <d v="2024-09-09T00:00:00Z"/>
        <d v="2025-02-25T00:00:00Z"/>
        <d v="2024-11-21T00:00:00Z"/>
        <d v="2025-04-29T00:00:00Z"/>
        <d v="2024-11-22T00:00:00Z"/>
        <d v="2025-01-30T00:00:00Z"/>
        <d v="2024-09-18T00:00:00Z"/>
        <d v="2025-02-20T00:00:00Z"/>
        <d v="2024-12-24T00:00:00Z"/>
        <d v="2024-08-31T00:00:00Z"/>
        <d v="2024-06-06T00:00:00Z"/>
        <d v="2024-06-07T00:00:00Z"/>
        <d v="2024-09-14T00:00:00Z"/>
        <d v="2024-07-18T00:00:00Z"/>
        <d v="2024-10-05T00:00:00Z"/>
        <d v="2025-05-02T00:00:00Z"/>
        <d v="2025-01-10T00:00:00Z"/>
        <d v="2024-08-08T00:00:00Z"/>
        <d v="2025-02-24T00:00:00Z"/>
        <d v="2024-12-05T00:00:00Z"/>
        <d v="2024-12-29T00:00:00Z"/>
        <d v="2024-09-05T00:00:00Z"/>
        <d v="2024-09-08T00:00:00Z"/>
        <d v="2025-03-07T00:00:00Z"/>
        <d v="2024-07-28T00:00:00Z"/>
        <d v="2025-01-14T00:00:00Z"/>
        <d v="2024-11-14T00:00:00Z"/>
        <d v="2025-02-19T00:00:00Z"/>
        <d v="2024-09-17T00:00:00Z"/>
        <d v="2024-06-10T00:00:00Z"/>
        <d v="2024-11-26T00:00:00Z"/>
        <d v="2024-06-24T00:00:00Z"/>
        <d v="2025-04-24T00:00:00Z"/>
        <d v="2024-09-10T00:00:00Z"/>
        <d v="2025-03-25T00:00:00Z"/>
        <d v="2024-09-11T00:00:00Z"/>
        <d v="2025-03-02T00:00:00Z"/>
        <d v="2025-03-06T00:00:00Z"/>
        <d v="2025-01-15T00:00:00Z"/>
        <d v="2024-08-03T00:00:00Z"/>
        <d v="2025-03-19T00:00:00Z"/>
        <d v="2024-06-16T00:00:00Z"/>
        <d v="2024-07-16T00:00:00Z"/>
        <d v="2024-10-04T00:00:00Z"/>
        <d v="2025-05-11T00:00:00Z"/>
        <d v="2025-04-10T00:00:00Z"/>
        <d v="2025-02-11T00:00:00Z"/>
        <d v="2025-05-09T00:00:00Z"/>
        <d v="2024-10-25T00:00:00Z"/>
        <d v="2025-03-21T00:00:00Z"/>
        <d v="2025-03-05T00:00:00Z"/>
        <d v="2024-06-05T00:00:00Z"/>
        <d v="2024-09-25T00:00:00Z"/>
        <d v="2025-03-18T00:00:00Z"/>
        <d v="2025-03-13T00:00:00Z"/>
        <d v="2024-10-15T00:00:00Z"/>
        <d v="2024-10-28T00:00:00Z"/>
        <d v="2025-02-17T00:00:00Z"/>
        <d v="2025-03-03T00:00:00Z"/>
        <d v="2024-09-02T00:00:00Z"/>
        <d v="2024-12-21T00:00:00Z"/>
        <d v="2024-07-23T00:00:00Z"/>
        <d v="2024-07-13T00:00:00Z"/>
        <d v="2024-12-31T00:00:00Z"/>
        <d v="2024-10-12T00:00:00Z"/>
        <d v="2024-10-29T00:00:00Z"/>
        <d v="2025-04-05T00:00:00Z"/>
        <d v="2024-09-29T00:00:00Z"/>
        <d v="2024-11-18T00:00:00Z"/>
        <d v="2024-11-23T00:00:00Z"/>
        <d v="2024-07-02T00:00:00Z"/>
        <d v="2025-04-17T00:00:00Z"/>
        <d v="2024-06-26T00:00:00Z"/>
        <d v="2024-08-22T00:00:00Z"/>
        <d v="2025-03-22T00:00:00Z"/>
        <d v="2024-06-21T00:00:00Z"/>
        <d v="2025-05-12T00:00:00Z"/>
      </sharedItems>
    </cacheField>
    <cacheField name="Total_Engagement &#10;" numFmtId="10">
      <sharedItems containsSemiMixedTypes="0" containsString="0" containsNumber="1" containsInteger="1">
        <n v="1371.0"/>
        <n v="1352.0"/>
        <n v="1165.0"/>
        <n v="869.0"/>
        <n v="5245.0"/>
        <n v="1514.0"/>
        <n v="2009.0"/>
        <n v="2766.0"/>
        <n v="3139.0"/>
        <n v="1785.0"/>
        <n v="5624.0"/>
        <n v="2812.0"/>
        <n v="5297.0"/>
        <n v="5180.0"/>
        <n v="4230.0"/>
        <n v="4299.0"/>
        <n v="5367.0"/>
        <n v="2917.0"/>
        <n v="4984.0"/>
        <n v="2634.0"/>
        <n v="1635.0"/>
        <n v="2854.0"/>
        <n v="4928.0"/>
        <n v="3215.0"/>
        <n v="4229.0"/>
        <n v="779.0"/>
        <n v="1627.0"/>
        <n v="3811.0"/>
        <n v="3009.0"/>
        <n v="4513.0"/>
        <n v="2158.0"/>
        <n v="3601.0"/>
        <n v="1522.0"/>
        <n v="5057.0"/>
        <n v="4519.0"/>
        <n v="4234.0"/>
        <n v="2830.0"/>
        <n v="4775.0"/>
        <n v="5226.0"/>
        <n v="5062.0"/>
        <n v="4043.0"/>
        <n v="5022.0"/>
        <n v="4996.0"/>
        <n v="3034.0"/>
        <n v="4160.0"/>
        <n v="4735.0"/>
        <n v="3767.0"/>
        <n v="2458.0"/>
        <n v="3542.0"/>
        <n v="2017.0"/>
        <n v="5472.0"/>
        <n v="3951.0"/>
        <n v="2943.0"/>
        <n v="3975.0"/>
        <n v="2469.0"/>
        <n v="1836.0"/>
        <n v="4189.0"/>
        <n v="4858.0"/>
        <n v="3804.0"/>
        <n v="3226.0"/>
        <n v="3214.0"/>
        <n v="2781.0"/>
        <n v="3800.0"/>
        <n v="4385.0"/>
        <n v="4370.0"/>
        <n v="5973.0"/>
        <n v="4853.0"/>
        <n v="5190.0"/>
        <n v="5033.0"/>
        <n v="2675.0"/>
        <n v="2098.0"/>
        <n v="4546.0"/>
        <n v="4900.0"/>
        <n v="5038.0"/>
        <n v="5407.0"/>
        <n v="5767.0"/>
        <n v="4413.0"/>
        <n v="4620.0"/>
        <n v="5040.0"/>
        <n v="4108.0"/>
        <n v="1066.0"/>
        <n v="892.0"/>
        <n v="908.0"/>
        <n v="1109.0"/>
        <n v="1582.0"/>
        <n v="1611.0"/>
        <n v="2204.0"/>
        <n v="3123.0"/>
        <n v="2104.0"/>
        <n v="3319.0"/>
        <n v="1343.0"/>
        <n v="866.0"/>
        <n v="2408.0"/>
        <n v="3498.0"/>
        <n v="2223.0"/>
        <n v="5152.0"/>
        <n v="5199.0"/>
        <n v="5053.0"/>
        <n v="2847.0"/>
        <n v="2721.0"/>
        <n v="4435.0"/>
        <n v="4466.0"/>
        <n v="4371.0"/>
        <n v="4926.0"/>
        <n v="3024.0"/>
        <n v="4801.0"/>
        <n v="1513.0"/>
        <n v="1179.0"/>
        <n v="3121.0"/>
        <n v="1940.0"/>
        <n v="3981.0"/>
        <n v="2905.0"/>
        <n v="2034.0"/>
        <n v="5621.0"/>
        <n v="1624.0"/>
        <n v="2890.0"/>
        <n v="5782.0"/>
        <n v="5709.0"/>
        <n v="578.0"/>
        <n v="2508.0"/>
        <n v="4758.0"/>
        <n v="2640.0"/>
        <n v="2481.0"/>
        <n v="4030.0"/>
        <n v="2560.0"/>
        <n v="2903.0"/>
        <n v="2590.0"/>
        <n v="525.0"/>
        <n v="3907.0"/>
        <n v="2073.0"/>
        <n v="3707.0"/>
        <n v="1612.0"/>
        <n v="4566.0"/>
        <n v="5645.0"/>
        <n v="4741.0"/>
        <n v="1886.0"/>
        <n v="3964.0"/>
        <n v="3534.0"/>
        <n v="5322.0"/>
        <n v="5401.0"/>
        <n v="1839.0"/>
        <n v="5939.0"/>
        <n v="1241.0"/>
        <n v="5004.0"/>
        <n v="3006.0"/>
        <n v="6030.0"/>
        <n v="5900.0"/>
        <n v="4424.0"/>
        <n v="3098.0"/>
        <n v="5606.0"/>
        <n v="5186.0"/>
        <n v="4922.0"/>
        <n v="3901.0"/>
        <n v="4816.0"/>
        <n v="4915.0"/>
        <n v="3212.0"/>
        <n v="4110.0"/>
        <n v="2119.0"/>
        <n v="1071.0"/>
        <n v="513.0"/>
        <n v="315.0"/>
        <n v="2140.0"/>
        <n v="883.0"/>
        <n v="1832.0"/>
        <n v="2637.0"/>
        <n v="4406.0"/>
        <n v="2697.0"/>
        <n v="1882.0"/>
        <n v="1872.0"/>
        <n v="2609.0"/>
        <n v="2370.0"/>
        <n v="1208.0"/>
        <n v="3072.0"/>
        <n v="2970.0"/>
        <n v="1497.0"/>
        <n v="2615.0"/>
        <n v="4277.0"/>
        <n v="3609.0"/>
        <n v="2583.0"/>
        <n v="735.0"/>
        <n v="3493.0"/>
        <n v="2290.0"/>
        <n v="1695.0"/>
        <n v="4895.0"/>
        <n v="6278.0"/>
        <n v="4893.0"/>
        <n v="5316.0"/>
        <n v="4377.0"/>
        <n v="5169.0"/>
        <n v="2871.0"/>
        <n v="5177.0"/>
        <n v="3489.0"/>
        <n v="2462.0"/>
        <n v="5913.0"/>
        <n v="1113.0"/>
        <n v="5024.0"/>
        <n v="2832.0"/>
        <n v="5521.0"/>
        <n v="1520.0"/>
        <n v="2987.0"/>
        <n v="4785.0"/>
        <n v="2048.0"/>
        <n v="5268.0"/>
        <n v="5304.0"/>
        <n v="3486.0"/>
        <n v="4878.0"/>
        <n v="2414.0"/>
        <n v="1775.0"/>
        <n v="1989.0"/>
        <n v="1308.0"/>
        <n v="1306.0"/>
        <n v="4612.0"/>
        <n v="1443.0"/>
        <n v="2340.0"/>
        <n v="5256.0"/>
        <n v="3661.0"/>
        <n v="1566.0"/>
        <n v="1274.0"/>
        <n v="3655.0"/>
        <n v="4181.0"/>
        <n v="2631.0"/>
        <n v="4936.0"/>
        <n v="2723.0"/>
        <n v="5487.0"/>
        <n v="4340.0"/>
        <n v="4666.0"/>
        <n v="5585.0"/>
        <n v="4284.0"/>
        <n v="3733.0"/>
        <n v="3536.0"/>
        <n v="3473.0"/>
        <n v="3726.0"/>
        <n v="5029.0"/>
        <n v="4737.0"/>
        <n v="522.0"/>
        <n v="1621.0"/>
        <n v="1486.0"/>
        <n v="1732.0"/>
        <n v="6029.0"/>
        <n v="5248.0"/>
        <n v="1865.0"/>
        <n v="2696.0"/>
        <n v="3979.0"/>
        <n v="3962.0"/>
        <n v="4348.0"/>
        <n v="3062.0"/>
        <n v="1587.0"/>
        <n v="6061.0"/>
        <n v="1480.0"/>
        <n v="4509.0"/>
        <n v="4892.0"/>
        <n v="2974.0"/>
        <n v="2229.0"/>
        <n v="3552.0"/>
        <n v="4282.0"/>
        <n v="4777.0"/>
        <n v="3671.0"/>
        <n v="2623.0"/>
        <n v="5154.0"/>
        <n v="4469.0"/>
        <n v="5547.0"/>
        <n v="1797.0"/>
        <n v="3913.0"/>
        <n v="3105.0"/>
        <n v="2282.0"/>
        <n v="4353.0"/>
        <n v="3780.0"/>
        <n v="3419.0"/>
        <n v="497.0"/>
        <n v="3828.0"/>
        <n v="3004.0"/>
        <n v="3476.0"/>
        <n v="5128.0"/>
        <n v="5340.0"/>
        <n v="1688.0"/>
        <n v="3021.0"/>
        <n v="5576.0"/>
        <n v="4805.0"/>
        <n v="2375.0"/>
        <n v="2731.0"/>
        <n v="5851.0"/>
        <n v="4052.0"/>
        <n v="4668.0"/>
        <n v="3818.0"/>
        <n v="6130.0"/>
        <n v="5473.0"/>
        <n v="3597.0"/>
        <n v="5735.0"/>
        <n v="5879.0"/>
        <n v="1760.0"/>
        <n v="2359.0"/>
        <n v="2195.0"/>
        <n v="2949.0"/>
      </sharedItems>
    </cacheField>
    <cacheField name="Period_Type&#10;" numFmtId="0">
      <sharedItems>
        <s v="Before Campaign"/>
        <s v="During Campaign"/>
      </sharedItems>
    </cacheField>
    <cacheField name="Follower_Growth" numFmtId="0">
      <sharedItems containsSemiMixedTypes="0" containsString="0" containsNumber="1" containsInteger="1">
        <n v="0.0"/>
        <n v="375.0"/>
        <n v="674.0"/>
        <n v="-1097.0"/>
        <n v="17576.0"/>
        <n v="-15044.0"/>
        <n v="2609.0"/>
        <n v="4004.0"/>
        <n v="2554.0"/>
        <n v="-6101.0"/>
        <n v="19832.0"/>
        <n v="-14061.0"/>
        <n v="13735.0"/>
        <n v="141.0"/>
        <n v="-4910.0"/>
        <n v="243.0"/>
        <n v="5736.0"/>
        <n v="-12410.0"/>
        <n v="13721.0"/>
        <n v="-14256.0"/>
        <n v="-6579.0"/>
        <n v="8371.0"/>
        <n v="15701.0"/>
        <n v="-11471.0"/>
        <n v="7898.0"/>
        <n v="-25339.0"/>
        <n v="6770.0"/>
        <n v="16867.0"/>
        <n v="-5545.0"/>
        <n v="11462.0"/>
        <n v="-18490.0"/>
        <n v="12148.0"/>
        <n v="-16124.0"/>
        <n v="29072.0"/>
        <n v="-4243.0"/>
        <n v="-1957.0"/>
        <n v="-9564.0"/>
        <n v="18052.0"/>
        <n v="7586.0"/>
        <n v="-1573.0"/>
        <n v="-9763.0"/>
        <n v="13494.0"/>
        <n v="-39033.0"/>
        <n v="42294.0"/>
        <n v="-22189.0"/>
        <n v="13151.0"/>
        <n v="7521.0"/>
        <n v="-9194.0"/>
        <n v="-16056.0"/>
        <n v="13091.0"/>
        <n v="-18054.0"/>
        <n v="43141.0"/>
        <n v="-19230.0"/>
        <n v="-23909.0"/>
        <n v="12323.0"/>
        <n v="13629.0"/>
        <n v="-18831.0"/>
        <n v="-8017.0"/>
        <n v="31356.0"/>
        <n v="8475.0"/>
        <n v="-13734.0"/>
        <n v="-7073.0"/>
        <n v="25745.0"/>
        <n v="-25073.0"/>
        <n v="-5978.0"/>
        <n v="14168.0"/>
        <n v="8005.0"/>
        <n v="17.0"/>
        <n v="22916.0"/>
        <n v="-15928.0"/>
        <n v="4983.0"/>
        <n v="-2002.0"/>
        <n v="-33129.0"/>
        <n v="-7696.0"/>
        <n v="36278.0"/>
        <n v="10388.0"/>
        <n v="2361.0"/>
        <n v="6893.0"/>
        <n v="6749.0"/>
        <n v="-21691.0"/>
        <n v="7418.0"/>
        <n v="8656.0"/>
        <n v="-10010.0"/>
        <n v="402.0"/>
        <n v="429.0"/>
        <n v="156.0"/>
        <n v="2404.0"/>
        <n v="786.0"/>
        <n v="2572.0"/>
        <n v="2167.0"/>
        <n v="-2288.0"/>
        <n v="3933.0"/>
        <n v="-6247.0"/>
        <n v="-1621.0"/>
        <n v="5695.0"/>
        <n v="3734.0"/>
        <n v="-3858.0"/>
        <n v="13209.0"/>
        <n v="355.0"/>
        <n v="54.0"/>
        <n v="-9684.0"/>
        <n v="58.0"/>
        <n v="8521.0"/>
        <n v="552.0"/>
        <n v="117.0"/>
        <n v="3166.0"/>
        <n v="-9475.0"/>
        <n v="9702.0"/>
        <n v="-17470.0"/>
        <n v="-1118.0"/>
        <n v="11582.0"/>
        <n v="-6261.0"/>
        <n v="13949.0"/>
        <n v="-6893.0"/>
        <n v="-5048.0"/>
        <n v="25566.0"/>
        <n v="-27654.0"/>
        <n v="9467.0"/>
        <n v="21261.0"/>
        <n v="997.0"/>
        <n v="-39578.0"/>
        <n v="15312.0"/>
        <n v="19620.0"/>
        <n v="-17581.0"/>
        <n v="-1011.0"/>
        <n v="13323.0"/>
        <n v="-11441.0"/>
        <n v="2806.0"/>
        <n v="-2750.0"/>
        <n v="-17535.0"/>
        <n v="30715.0"/>
        <n v="-16710.0"/>
        <n v="17424.0"/>
        <n v="-19954.0"/>
        <n v="29318.0"/>
        <n v="11195.0"/>
        <n v="-7049.0"/>
        <n v="-30067.0"/>
        <n v="10797.0"/>
        <n v="12862.0"/>
        <n v="-3517.0"/>
        <n v="20993.0"/>
        <n v="936.0"/>
        <n v="-40824.0"/>
        <n v="48632.0"/>
        <n v="-55504.0"/>
        <n v="45763.0"/>
        <n v="-24060.0"/>
        <n v="36897.0"/>
        <n v="-541.0"/>
        <n v="-17780.0"/>
        <n v="-14450.0"/>
        <n v="32930.0"/>
        <n v="-4775.0"/>
        <n v="1196.0"/>
        <n v="-11927.0"/>
        <n v="14432.0"/>
        <n v="5559.0"/>
        <n v="-22073.0"/>
        <n v="16639.0"/>
        <n v="-34573.0"/>
        <n v="-1037.0"/>
        <n v="468.0"/>
        <n v="4746.0"/>
        <n v="-2936.0"/>
        <n v="3860.0"/>
        <n v="4822.0"/>
        <n v="-722.0"/>
        <n v="8314.0"/>
        <n v="-5858.0"/>
        <n v="-3826.0"/>
        <n v="7.0"/>
        <n v="3794.0"/>
        <n v="-112.0"/>
        <n v="-6343.0"/>
        <n v="10644.0"/>
        <n v="-382.0"/>
        <n v="-7773.0"/>
        <n v="6090.0"/>
        <n v="10163.0"/>
        <n v="-4171.0"/>
        <n v="-5389.0"/>
        <n v="-11699.0"/>
        <n v="18467.0"/>
        <n v="-6792.0"/>
        <n v="-3783.0"/>
        <n v="21850.0"/>
        <n v="9793.0"/>
        <n v="-9151.0"/>
        <n v="3704.0"/>
        <n v="-6388.0"/>
        <n v="6221.0"/>
        <n v="-16505.0"/>
        <n v="18449.0"/>
        <n v="-12352.0"/>
        <n v="-7027.0"/>
        <n v="30375.0"/>
        <n v="-41147.0"/>
        <n v="34164.0"/>
        <n v="-18756.0"/>
        <n v="24431.0"/>
        <n v="-35419.0"/>
        <n v="13523.0"/>
        <n v="18270.0"/>
        <n v="-26297.0"/>
        <n v="32421.0"/>
        <n v="932.0"/>
        <n v="-18212.0"/>
        <n v="15015.0"/>
        <n v="-24574.0"/>
        <n v="-6262.0"/>
        <n v="3021.0"/>
        <n v="-7395.0"/>
        <n v="-151.0"/>
        <n v="38484.0"/>
        <n v="-36617.0"/>
        <n v="11188.0"/>
        <n v="35504.0"/>
        <n v="-19022.0"/>
        <n v="-24807.0"/>
        <n v="-3902.0"/>
        <n v="29782.0"/>
        <n v="8052.0"/>
        <n v="-19617.0"/>
        <n v="31209.0"/>
        <n v="-28111.0"/>
        <n v="38655.0"/>
        <n v="-19491.0"/>
        <n v="6224.0"/>
        <n v="6179.0"/>
        <n v="17500.0"/>
        <n v="-18725.0"/>
        <n v="-24623.0"/>
        <n v="17851.0"/>
        <n v="-660.0"/>
        <n v="-1036.0"/>
        <n v="5643.0"/>
        <n v="24044.0"/>
        <n v="1758.0"/>
        <n v="391.0"/>
        <n v="1562.0"/>
        <n v="17877.0"/>
        <n v="-2112.0"/>
        <n v="-13082.0"/>
        <n v="4107.0"/>
        <n v="6379.0"/>
        <n v="1568.0"/>
        <n v="5638.0"/>
        <n v="-6910.0"/>
        <n v="-8562.0"/>
        <n v="29416.0"/>
        <n v="-29608.0"/>
        <n v="22598.0"/>
        <n v="3490.0"/>
        <n v="-14217.0"/>
        <n v="-4958.0"/>
        <n v="11220.0"/>
        <n v="5984.0"/>
        <n v="5018.0"/>
        <n v="-8192.0"/>
        <n v="-7743.0"/>
        <n v="24927.0"/>
        <n v="-4703.0"/>
        <n v="12715.0"/>
        <n v="-37392.0"/>
        <n v="21155.0"/>
        <n v="-7172.0"/>
        <n v="-7814.0"/>
        <n v="23246.0"/>
        <n v="-6270.0"/>
        <n v="-3738.0"/>
        <n v="-32332.0"/>
        <n v="38466.0"/>
        <n v="-9020.0"/>
        <n v="6131.0"/>
        <n v="19776.0"/>
        <n v="3058.0"/>
        <n v="-42368.0"/>
        <n v="18999.0"/>
        <n v="34727.0"/>
        <n v="-8374.0"/>
        <n v="-34390.0"/>
        <n v="6383.0"/>
        <n v="47116.0"/>
        <n v="-26253.0"/>
        <n v="11211.0"/>
        <n v="-12649.0"/>
        <n v="34758.0"/>
        <n v="-7022.0"/>
        <n v="-29663.0"/>
        <n v="35171.0"/>
        <n v="6476.0"/>
        <n v="-68083.0"/>
        <n v="10436.0"/>
        <n v="-1354.0"/>
        <n v="13536.0"/>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000" sheet="Posts"/>
  </cacheSource>
  <cacheFields>
    <cacheField name="Post ID" numFmtId="0">
      <sharedItems containsBlank="1">
        <s v="P070"/>
        <s v="P224"/>
        <s v="P248"/>
        <s v="P259"/>
        <s v="P277"/>
        <s v="P246"/>
        <s v="P120"/>
        <s v="P159"/>
        <s v="P137"/>
        <s v="P077"/>
        <s v="P152"/>
        <s v="P218"/>
        <s v="P242"/>
        <s v="P294"/>
        <s v="P006"/>
        <s v="P037"/>
        <s v="P241"/>
        <s v="P275"/>
        <s v="P221"/>
        <s v="P252"/>
        <s v="P052"/>
        <s v="P140"/>
        <s v="P014"/>
        <s v="P299"/>
        <s v="P174"/>
        <s v="P088"/>
        <s v="P236"/>
        <s v="P056"/>
        <s v="P012"/>
        <s v="P235"/>
        <s v="P033"/>
        <s v="P293"/>
        <s v="P292"/>
        <s v="P245"/>
        <s v="P255"/>
        <s v="P247"/>
        <s v="P222"/>
        <s v="P156"/>
        <s v="P182"/>
        <s v="P266"/>
        <s v="P103"/>
        <s v="P017"/>
        <s v="P055"/>
        <s v="P009"/>
        <s v="P084"/>
        <s v="P162"/>
        <s v="P186"/>
        <s v="P213"/>
        <s v="P202"/>
        <s v="P064"/>
        <s v="P022"/>
        <s v="P118"/>
        <s v="P257"/>
        <s v="P091"/>
        <s v="P051"/>
        <s v="P230"/>
        <s v="P023"/>
        <s v="P234"/>
        <s v="P016"/>
        <s v="P179"/>
        <s v="P045"/>
        <s v="P168"/>
        <s v="P250"/>
        <s v="P289"/>
        <s v="P233"/>
        <s v="P172"/>
        <s v="P189"/>
        <s v="P039"/>
        <s v="P215"/>
        <s v="P024"/>
        <s v="P010"/>
        <s v="P291"/>
        <s v="P133"/>
        <s v="P034"/>
        <s v="P127"/>
        <s v="P135"/>
        <s v="P073"/>
        <s v="P067"/>
        <s v="P217"/>
        <s v="P200"/>
        <s v="P015"/>
        <s v="P298"/>
        <s v="P176"/>
        <s v="P220"/>
        <s v="P058"/>
        <s v="P178"/>
        <s v="P175"/>
        <s v="P214"/>
        <s v="P121"/>
        <s v="P154"/>
        <s v="P119"/>
        <s v="P287"/>
        <s v="P204"/>
        <s v="P183"/>
        <s v="P031"/>
        <s v="P093"/>
        <s v="P263"/>
        <s v="P226"/>
        <s v="P123"/>
        <s v="P163"/>
        <s v="P269"/>
        <s v="P043"/>
        <s v="P029"/>
        <s v="P271"/>
        <s v="P136"/>
        <s v="P258"/>
        <s v="P148"/>
        <s v="P068"/>
        <s v="P085"/>
        <s v="P041"/>
        <s v="P028"/>
        <s v="P094"/>
        <s v="P060"/>
        <s v="P147"/>
        <s v="P004"/>
        <s v="P192"/>
        <s v="P272"/>
        <s v="P195"/>
        <s v="P132"/>
        <s v="P229"/>
        <s v="P131"/>
        <s v="P105"/>
        <s v="P196"/>
        <s v="P110"/>
        <s v="P075"/>
        <s v="P065"/>
        <s v="P035"/>
        <s v="P251"/>
        <s v="P011"/>
        <s v="P158"/>
        <s v="P227"/>
        <s v="P151"/>
        <s v="P282"/>
        <s v="P018"/>
        <s v="P019"/>
        <s v="P126"/>
        <s v="P167"/>
        <s v="P185"/>
        <s v="P081"/>
        <s v="P059"/>
        <s v="P177"/>
        <s v="P079"/>
        <s v="P260"/>
        <s v="P097"/>
        <s v="P231"/>
        <s v="P106"/>
        <s v="P082"/>
        <s v="P268"/>
        <s v="P290"/>
        <s v="P261"/>
        <s v="P228"/>
        <s v="P122"/>
        <s v="P080"/>
        <s v="P021"/>
        <s v="P036"/>
        <s v="P090"/>
        <s v="P095"/>
        <s v="P237"/>
        <s v="P020"/>
        <s v="P030"/>
        <s v="P203"/>
        <s v="P145"/>
        <s v="P232"/>
        <s v="P062"/>
        <s v="P264"/>
        <s v="P102"/>
        <s v="P066"/>
        <s v="P219"/>
        <s v="P265"/>
        <s v="P297"/>
        <s v="P141"/>
        <s v="P087"/>
        <s v="P276"/>
        <s v="P198"/>
        <s v="P032"/>
        <s v="P211"/>
        <s v="P153"/>
        <s v="P112"/>
        <s v="P129"/>
        <s v="P046"/>
        <s v="P089"/>
        <s v="P109"/>
        <s v="P047"/>
        <s v="P295"/>
        <s v="P138"/>
        <s v="P165"/>
        <s v="P173"/>
        <s v="P166"/>
        <s v="P207"/>
        <s v="P061"/>
        <s v="P125"/>
        <s v="P040"/>
        <s v="P184"/>
        <s v="P092"/>
        <s v="P254"/>
        <s v="P114"/>
        <s v="P128"/>
        <s v="P117"/>
        <s v="P161"/>
        <s v="P284"/>
        <s v="P113"/>
        <s v="P098"/>
        <s v="P278"/>
        <s v="P206"/>
        <s v="P049"/>
        <s v="P205"/>
        <s v="P096"/>
        <s v="P108"/>
        <s v="P193"/>
        <s v="P044"/>
        <s v="P243"/>
        <s v="P069"/>
        <s v="P160"/>
        <s v="P001"/>
        <s v="P201"/>
        <s v="P249"/>
        <s v="P253"/>
        <s v="P240"/>
        <s v="P187"/>
        <s v="P300"/>
        <s v="P209"/>
        <s v="P078"/>
        <s v="P076"/>
        <s v="P057"/>
        <s v="P274"/>
        <s v="P149"/>
        <s v="P002"/>
        <s v="P048"/>
        <s v="P238"/>
        <s v="P134"/>
        <s v="P007"/>
        <s v="P170"/>
        <s v="P197"/>
        <s v="P267"/>
        <s v="P115"/>
        <s v="P223"/>
        <s v="P025"/>
        <s v="P296"/>
        <s v="P283"/>
        <s v="P225"/>
        <s v="P063"/>
        <s v="P143"/>
        <s v="P210"/>
        <s v="P053"/>
        <s v="P124"/>
        <s v="P244"/>
        <s v="P239"/>
        <s v="P181"/>
        <s v="P042"/>
        <s v="P146"/>
        <s v="P286"/>
        <s v="P116"/>
        <s v="P054"/>
        <s v="P083"/>
        <s v="P164"/>
        <s v="P262"/>
        <s v="P104"/>
        <s v="P285"/>
        <s v="P050"/>
        <s v="P074"/>
        <s v="P038"/>
        <s v="P169"/>
        <s v="P212"/>
        <s v="P071"/>
        <s v="P155"/>
        <s v="P157"/>
        <s v="P008"/>
        <s v="P191"/>
        <s v="P171"/>
        <s v="P273"/>
        <s v="P139"/>
        <s v="P100"/>
        <s v="P180"/>
        <s v="P026"/>
        <s v="P130"/>
        <s v="P072"/>
        <s v="P208"/>
        <s v="P199"/>
        <s v="P188"/>
        <s v="P194"/>
        <s v="P280"/>
        <s v="P013"/>
        <s v="P111"/>
        <s v="P101"/>
        <s v="P099"/>
        <s v="P027"/>
        <s v="P142"/>
        <s v="P288"/>
        <s v="P270"/>
        <s v="P005"/>
        <s v="P086"/>
        <s v="P144"/>
        <s v="P150"/>
        <s v="P281"/>
        <s v="P107"/>
        <s v="P279"/>
        <s v="P216"/>
        <s v="P256"/>
        <s v="P190"/>
        <s v="P003"/>
        <m/>
      </sharedItems>
    </cacheField>
    <cacheField name="Platform_Clean" numFmtId="0">
      <sharedItems containsBlank="1">
        <s v="FACEBOOK"/>
        <s v="INSTAGRAM"/>
        <s v="TWITTER"/>
        <s v="YOUTUBE"/>
        <m/>
      </sharedItems>
    </cacheField>
    <cacheField name="Data" numFmtId="164">
      <sharedItems containsDate="1" containsString="0" containsBlank="1">
        <d v="2025-04-02T00:00:00Z"/>
        <d v="2025-05-13T00:00:00Z"/>
        <d v="2025-02-02T00:00:00Z"/>
        <d v="2025-02-10T00:00:00Z"/>
        <d v="2025-04-06T00:00:00Z"/>
        <d v="2024-10-11T00:00:00Z"/>
        <d v="2024-10-21T00:00:00Z"/>
        <d v="2024-11-25T00:00:00Z"/>
        <d v="2024-07-31T00:00:00Z"/>
        <d v="2025-03-04T00:00:00Z"/>
        <d v="2025-04-22T00:00:00Z"/>
        <d v="2024-06-11T00:00:00Z"/>
        <d v="2024-07-07T00:00:00Z"/>
        <d v="2024-06-19T00:00:00Z"/>
        <d v="2024-10-31T00:00:00Z"/>
        <d v="2025-01-06T00:00:00Z"/>
        <d v="2025-01-18T00:00:00Z"/>
        <d v="2024-08-05T00:00:00Z"/>
        <d v="2025-03-23T00:00:00Z"/>
        <d v="2025-04-28T00:00:00Z"/>
        <d v="2025-01-03T00:00:00Z"/>
        <d v="2024-07-15T00:00:00Z"/>
        <d v="2025-02-16T00:00:00Z"/>
        <d v="2024-08-26T00:00:00Z"/>
        <d v="2024-06-22T00:00:00Z"/>
        <d v="2024-08-19T00:00:00Z"/>
        <d v="2024-12-18T00:00:00Z"/>
        <d v="2024-07-21T00:00:00Z"/>
        <d v="2024-12-22T00:00:00Z"/>
        <d v="2024-08-21T00:00:00Z"/>
        <d v="2025-05-14T00:00:00Z"/>
        <d v="2024-11-17T00:00:00Z"/>
        <d v="2025-01-12T00:00:00Z"/>
        <d v="2025-04-03T00:00:00Z"/>
        <d v="2024-08-27T00:00:00Z"/>
        <d v="2024-10-08T00:00:00Z"/>
        <d v="2024-10-22T00:00:00Z"/>
        <d v="2025-05-05T00:00:00Z"/>
        <d v="2024-06-17T00:00:00Z"/>
        <d v="2024-08-30T00:00:00Z"/>
        <d v="2024-12-09T00:00:00Z"/>
        <d v="2025-04-01T00:00:00Z"/>
        <d v="2024-08-24T00:00:00Z"/>
        <d v="2025-05-01T00:00:00Z"/>
        <d v="2024-06-02T00:00:00Z"/>
        <d v="2024-08-17T00:00:00Z"/>
        <d v="2025-02-27T00:00:00Z"/>
        <d v="2024-11-04T00:00:00Z"/>
        <d v="2025-03-24T00:00:00Z"/>
        <d v="2024-06-13T00:00:00Z"/>
        <d v="2024-11-06T00:00:00Z"/>
        <d v="2024-06-01T00:00:00Z"/>
        <d v="2024-11-01T00:00:00Z"/>
        <d v="2024-11-12T00:00:00Z"/>
        <d v="2024-11-28T00:00:00Z"/>
        <d v="2025-03-08T00:00:00Z"/>
        <d v="2024-08-14T00:00:00Z"/>
        <d v="2025-05-06T00:00:00Z"/>
        <d v="2025-01-23T00:00:00Z"/>
        <d v="2025-03-11T00:00:00Z"/>
        <d v="2025-02-06T00:00:00Z"/>
        <d v="2025-03-26T00:00:00Z"/>
        <d v="2025-01-27T00:00:00Z"/>
        <d v="2024-10-18T00:00:00Z"/>
        <d v="2025-03-29T00:00:00Z"/>
        <d v="2024-12-03T00:00:00Z"/>
        <d v="2025-04-07T00:00:00Z"/>
        <d v="2024-10-24T00:00:00Z"/>
        <d v="2024-06-20T00:00:00Z"/>
        <d v="2025-04-15T00:00:00Z"/>
        <d v="2024-11-07T00:00:00Z"/>
        <d v="2025-01-17T00:00:00Z"/>
        <d v="2024-12-23T00:00:00Z"/>
        <d v="2024-07-29T00:00:00Z"/>
        <d v="2024-10-09T00:00:00Z"/>
        <d v="2025-02-07T00:00:00Z"/>
        <d v="2024-08-15T00:00:00Z"/>
        <d v="2025-01-01T00:00:00Z"/>
        <d v="2024-12-17T00:00:00Z"/>
        <d v="2024-12-16T00:00:00Z"/>
        <d v="2024-12-11T00:00:00Z"/>
        <d v="2024-08-20T00:00:00Z"/>
        <d v="2024-08-07T00:00:00Z"/>
        <d v="2024-06-14T00:00:00Z"/>
        <d v="2025-04-08T00:00:00Z"/>
        <d v="2024-11-05T00:00:00Z"/>
        <d v="2024-12-14T00:00:00Z"/>
        <d v="2025-01-31T00:00:00Z"/>
        <d v="2024-10-17T00:00:00Z"/>
        <d v="2024-07-11T00:00:00Z"/>
        <d v="2024-12-08T00:00:00Z"/>
        <d v="2025-04-19T00:00:00Z"/>
        <d v="2025-01-28T00:00:00Z"/>
        <d v="2024-08-12T00:00:00Z"/>
        <d v="2024-11-29T00:00:00Z"/>
        <d v="2025-03-27T00:00:00Z"/>
        <d v="2024-07-03T00:00:00Z"/>
        <d v="2024-12-19T00:00:00Z"/>
        <d v="2024-08-01T00:00:00Z"/>
        <d v="2025-03-28T00:00:00Z"/>
        <d v="2024-11-30T00:00:00Z"/>
        <d v="2024-08-11T00:00:00Z"/>
        <d v="2024-06-12T00:00:00Z"/>
        <d v="2024-07-26T00:00:00Z"/>
        <d v="2024-10-03T00:00:00Z"/>
        <d v="2024-06-23T00:00:00Z"/>
        <d v="2025-01-11T00:00:00Z"/>
        <d v="2024-10-19T00:00:00Z"/>
        <d v="2024-07-10T00:00:00Z"/>
        <d v="2025-02-12T00:00:00Z"/>
        <d v="2024-08-13T00:00:00Z"/>
        <d v="2025-02-04T00:00:00Z"/>
        <d v="2024-07-24T00:00:00Z"/>
        <d v="2025-04-13T00:00:00Z"/>
        <d v="2024-12-20T00:00:00Z"/>
        <d v="2024-10-27T00:00:00Z"/>
        <d v="2024-07-01T00:00:00Z"/>
        <d v="2024-10-02T00:00:00Z"/>
        <d v="2025-01-04T00:00:00Z"/>
        <d v="2024-06-03T00:00:00Z"/>
        <d v="2024-11-08T00:00:00Z"/>
        <d v="2024-09-09T00:00:00Z"/>
        <d v="2025-02-25T00:00:00Z"/>
        <d v="2024-11-21T00:00:00Z"/>
        <d v="2025-04-29T00:00:00Z"/>
        <d v="2024-11-22T00:00:00Z"/>
        <d v="2025-01-30T00:00:00Z"/>
        <d v="2024-09-18T00:00:00Z"/>
        <d v="2025-02-20T00:00:00Z"/>
        <d v="2024-12-24T00:00:00Z"/>
        <d v="2024-08-31T00:00:00Z"/>
        <d v="2024-06-06T00:00:00Z"/>
        <d v="2024-06-07T00:00:00Z"/>
        <d v="2024-09-14T00:00:00Z"/>
        <d v="2024-07-18T00:00:00Z"/>
        <d v="2024-10-05T00:00:00Z"/>
        <d v="2025-05-02T00:00:00Z"/>
        <d v="2025-01-10T00:00:00Z"/>
        <d v="2024-08-08T00:00:00Z"/>
        <d v="2025-02-24T00:00:00Z"/>
        <d v="2024-12-05T00:00:00Z"/>
        <d v="2024-12-29T00:00:00Z"/>
        <d v="2024-09-05T00:00:00Z"/>
        <d v="2024-09-08T00:00:00Z"/>
        <d v="2025-03-07T00:00:00Z"/>
        <d v="2024-07-28T00:00:00Z"/>
        <d v="2025-01-14T00:00:00Z"/>
        <d v="2024-11-14T00:00:00Z"/>
        <d v="2025-02-19T00:00:00Z"/>
        <d v="2024-09-17T00:00:00Z"/>
        <d v="2024-06-10T00:00:00Z"/>
        <d v="2024-11-26T00:00:00Z"/>
        <d v="2024-06-24T00:00:00Z"/>
        <d v="2025-04-24T00:00:00Z"/>
        <d v="2024-09-10T00:00:00Z"/>
        <d v="2025-03-25T00:00:00Z"/>
        <d v="2024-09-11T00:00:00Z"/>
        <d v="2025-03-02T00:00:00Z"/>
        <d v="2025-03-06T00:00:00Z"/>
        <d v="2025-01-15T00:00:00Z"/>
        <d v="2024-08-03T00:00:00Z"/>
        <d v="2025-03-19T00:00:00Z"/>
        <d v="2024-06-16T00:00:00Z"/>
        <d v="2024-07-16T00:00:00Z"/>
        <d v="2024-10-04T00:00:00Z"/>
        <d v="2025-05-11T00:00:00Z"/>
        <d v="2025-04-10T00:00:00Z"/>
        <d v="2025-02-11T00:00:00Z"/>
        <d v="2025-05-09T00:00:00Z"/>
        <d v="2024-10-25T00:00:00Z"/>
        <d v="2025-03-21T00:00:00Z"/>
        <d v="2025-03-05T00:00:00Z"/>
        <d v="2024-06-05T00:00:00Z"/>
        <d v="2024-09-25T00:00:00Z"/>
        <d v="2025-03-18T00:00:00Z"/>
        <d v="2025-03-13T00:00:00Z"/>
        <d v="2024-10-15T00:00:00Z"/>
        <d v="2024-10-28T00:00:00Z"/>
        <d v="2025-02-17T00:00:00Z"/>
        <d v="2025-03-03T00:00:00Z"/>
        <d v="2024-09-02T00:00:00Z"/>
        <d v="2024-12-21T00:00:00Z"/>
        <d v="2024-07-23T00:00:00Z"/>
        <d v="2024-07-13T00:00:00Z"/>
        <d v="2024-12-31T00:00:00Z"/>
        <d v="2024-10-12T00:00:00Z"/>
        <d v="2024-10-29T00:00:00Z"/>
        <d v="2025-04-05T00:00:00Z"/>
        <d v="2024-09-29T00:00:00Z"/>
        <d v="2024-11-18T00:00:00Z"/>
        <d v="2024-11-23T00:00:00Z"/>
        <d v="2024-07-02T00:00:00Z"/>
        <d v="2025-04-17T00:00:00Z"/>
        <d v="2024-06-26T00:00:00Z"/>
        <d v="2024-08-22T00:00:00Z"/>
        <d v="2025-03-22T00:00:00Z"/>
        <d v="2024-06-21T00:00:00Z"/>
        <d v="2025-05-12T00:00:00Z"/>
        <m/>
      </sharedItems>
    </cacheField>
    <cacheField name="Campaign_Name" numFmtId="164">
      <sharedItems containsBlank="1">
        <s v="Outside Campaign"/>
        <s v="NewYearRefresh"/>
        <s v="FestiveRadiance"/>
        <s v="SummerSplash"/>
        <m/>
      </sharedItems>
    </cacheField>
    <cacheField name="Content Type" numFmtId="0">
      <sharedItems containsBlank="1">
        <s v="Video"/>
        <s v="Image"/>
        <s v="Story"/>
        <s v="Text"/>
        <s v="Carousel"/>
        <s v="Reel"/>
        <m/>
      </sharedItems>
    </cacheField>
    <cacheField name="Post Text" numFmtId="0">
      <sharedItems containsBlank="1">
        <s v="Check out our latest video on facebook!"/>
        <s v="Check out our latest image on facebook!"/>
        <s v="Check out our latest story on facebook!"/>
        <s v="Check out our latest text on facebook!"/>
        <s v="Check out our latest carousel on facebook!"/>
        <s v="Check out our latest reel on facebook!"/>
        <s v="Check out our latest story on instagram!"/>
        <s v="Check out our latest reel on instagram!"/>
        <s v="Check out our latest video on instagram!"/>
        <s v="Check out our latest image on instagram!"/>
        <s v="Check out our latest carousel on instagram!"/>
        <s v="Check out our latest text on instagram!"/>
        <s v="Check out our latest story on twitter!"/>
        <s v="Check out our latest carousel on twitter!"/>
        <s v="Check out our latest image on twitter!"/>
        <s v="Check out our latest reel on twitter!"/>
        <s v="Check out our latest text on twitter!"/>
        <s v="Check out our latest video on twitter!"/>
        <s v="Check out our latest carousel on youtube!"/>
        <s v="Check out our latest image on youtube!"/>
        <s v="Check out our latest video on youtube!"/>
        <s v="Check out our latest text on youtube!"/>
        <s v="Check out our latest reel on youtube!"/>
        <s v="Check out our latest story on youtube!"/>
        <m/>
      </sharedItems>
    </cacheField>
    <cacheField name="Likes" numFmtId="4">
      <sharedItems containsString="0" containsBlank="1" containsNumber="1" containsInteger="1">
        <n v="199.0"/>
        <n v="602.0"/>
        <n v="886.0"/>
        <n v="562.0"/>
        <n v="4236.0"/>
        <n v="400.0"/>
        <n v="780.0"/>
        <n v="2120.0"/>
        <n v="3008.0"/>
        <n v="1249.0"/>
        <n v="4804.0"/>
        <n v="1869.0"/>
        <n v="4767.0"/>
        <n v="4731.0"/>
        <n v="2945.0"/>
        <n v="3024.0"/>
        <n v="4321.0"/>
        <n v="1741.0"/>
        <n v="4453.0"/>
        <n v="2089.0"/>
        <n v="947.0"/>
        <n v="2291.0"/>
        <n v="4242.0"/>
        <n v="2581.0"/>
        <n v="3828.0"/>
        <n v="302.0"/>
        <n v="1257.0"/>
        <n v="2946.0"/>
        <n v="1946.0"/>
        <n v="3196.0"/>
        <n v="1407.0"/>
        <n v="2634.0"/>
        <n v="880.0"/>
        <n v="4134.0"/>
        <n v="3767.0"/>
        <n v="3960.0"/>
        <n v="1814.0"/>
        <n v="3352.0"/>
        <n v="4689.0"/>
        <n v="4182.0"/>
        <n v="3689.0"/>
        <n v="4441.0"/>
        <n v="1226.0"/>
        <n v="3784.0"/>
        <n v="1841.0"/>
        <n v="3430.0"/>
        <n v="4292.0"/>
        <n v="2696.0"/>
        <n v="1871.0"/>
        <n v="2878.0"/>
        <n v="1570.0"/>
        <n v="4551.0"/>
        <n v="3090.0"/>
        <n v="1263.0"/>
        <n v="2200.0"/>
        <n v="3663.0"/>
        <n v="1606.0"/>
        <n v="1272.0"/>
        <n v="3452.0"/>
        <n v="3796.0"/>
        <n v="3371.0"/>
        <n v="2418.0"/>
        <n v="3813.0"/>
        <n v="2751.0"/>
        <n v="2382.0"/>
        <n v="3073.0"/>
        <n v="3360.0"/>
        <n v="3564.0"/>
        <n v="4872.0"/>
        <n v="3961.0"/>
        <n v="4241.0"/>
        <n v="4663.0"/>
        <n v="2072.0"/>
        <n v="1652.0"/>
        <n v="4213.0"/>
        <n v="4126.0"/>
        <n v="4712.0"/>
        <n v="4606.0"/>
        <n v="3718.0"/>
        <n v="3888.0"/>
        <n v="4303.0"/>
        <n v="3798.0"/>
        <n v="84.0"/>
        <n v="103.0"/>
        <n v="129.0"/>
        <n v="142.0"/>
        <n v="521.0"/>
        <n v="498.0"/>
        <n v="985.0"/>
        <n v="1970.0"/>
        <n v="1164.0"/>
        <n v="2234.0"/>
        <n v="360.0"/>
        <n v="438.0"/>
        <n v="1431.0"/>
        <n v="2603.0"/>
        <n v="4363.0"/>
        <n v="4501.0"/>
        <n v="4561.0"/>
        <n v="2174.0"/>
        <n v="2566.0"/>
        <n v="3575.0"/>
        <n v="3134.0"/>
        <n v="3601.0"/>
        <n v="4133.0"/>
        <n v="2610.0"/>
        <n v="4177.0"/>
        <n v="456.0"/>
        <n v="432.0"/>
        <n v="2647.0"/>
        <n v="904.0"/>
        <n v="3256.0"/>
        <n v="2404.0"/>
        <n v="1176.0"/>
        <n v="4941.0"/>
        <n v="914.0"/>
        <n v="1947.0"/>
        <n v="4799.0"/>
        <n v="4840.0"/>
        <n v="1813.0"/>
        <n v="3523.0"/>
        <n v="1674.0"/>
        <n v="1881.0"/>
        <n v="3775.0"/>
        <n v="1377.0"/>
        <n v="1792.0"/>
        <n v="1762.0"/>
        <n v="246.0"/>
        <n v="3559.0"/>
        <n v="1488.0"/>
        <n v="3000.0"/>
        <n v="1071.0"/>
        <n v="4158.0"/>
        <n v="4771.0"/>
        <n v="4523.0"/>
        <n v="1816.0"/>
        <n v="2180.0"/>
        <n v="3099.0"/>
        <n v="3068.0"/>
        <n v="4332.0"/>
        <n v="4739.0"/>
        <n v="1430.0"/>
        <n v="4619.0"/>
        <n v="725.0"/>
        <n v="4579.0"/>
        <n v="2107.0"/>
        <n v="4853.0"/>
        <n v="4808.0"/>
        <n v="3432.0"/>
        <n v="2103.0"/>
        <n v="4838.0"/>
        <n v="4518.0"/>
        <n v="3861.0"/>
        <n v="3182.0"/>
        <n v="3770.0"/>
        <n v="4054.0"/>
        <n v="3095.0"/>
        <n v="3773.0"/>
        <n v="1878.0"/>
        <n v="249.0"/>
        <n v="53.0"/>
        <n v="59.0"/>
        <n v="1000.0"/>
        <n v="1188.0"/>
        <n v="1877.0"/>
        <n v="2166.0"/>
        <n v="3170.0"/>
        <n v="1436.0"/>
        <n v="1556.0"/>
        <n v="1048.0"/>
        <n v="2278.0"/>
        <n v="754.0"/>
        <n v="1957.0"/>
        <n v="2147.0"/>
        <n v="1108.0"/>
        <n v="2214.0"/>
        <n v="3649.0"/>
        <n v="2704.0"/>
        <n v="1952.0"/>
        <n v="305.0"/>
        <n v="3239.0"/>
        <n v="1330.0"/>
        <n v="1076.0"/>
        <n v="4274.0"/>
        <n v="4886.0"/>
        <n v="3811.0"/>
        <n v="4750.0"/>
        <n v="3215.0"/>
        <n v="3801.0"/>
        <n v="2692.0"/>
        <n v="4000.0"/>
        <n v="3092.0"/>
        <n v="4671.0"/>
        <n v="571.0"/>
        <n v="4419.0"/>
        <n v="1575.0"/>
        <n v="4516.0"/>
        <n v="941.0"/>
        <n v="2164.0"/>
        <n v="3820.0"/>
        <n v="1238.0"/>
        <n v="4050.0"/>
        <n v="4858.0"/>
        <n v="2358.0"/>
        <n v="3592.0"/>
        <n v="1292.0"/>
        <n v="1082.0"/>
        <n v="1461.0"/>
        <n v="802.0"/>
        <n v="827.0"/>
        <n v="3791.0"/>
        <n v="929.0"/>
        <n v="1644.0"/>
        <n v="4494.0"/>
        <n v="3160.0"/>
        <n v="954.0"/>
        <n v="1121.0"/>
        <n v="2825.0"/>
        <n v="3535.0"/>
        <n v="1702.0"/>
        <n v="1950.0"/>
        <n v="4725.0"/>
        <n v="3731.0"/>
        <n v="3860.0"/>
        <n v="3577.0"/>
        <n v="4782.0"/>
        <n v="4187.0"/>
        <n v="2493.0"/>
        <n v="3338.0"/>
        <n v="3128.0"/>
        <n v="3440.0"/>
        <n v="3367.0"/>
        <n v="4672.0"/>
        <n v="4507.0"/>
        <n v="80.0"/>
        <n v="257.0"/>
        <n v="804.0"/>
        <n v="736.0"/>
        <n v="4661.0"/>
        <n v="4188.0"/>
        <n v="606.0"/>
        <n v="1543.0"/>
        <n v="3065.0"/>
        <n v="3389.0"/>
        <n v="3704.0"/>
        <n v="1686.0"/>
        <n v="1094.0"/>
        <n v="4934.0"/>
        <n v="1206.0"/>
        <n v="3655.0"/>
        <n v="4021.0"/>
        <n v="2754.0"/>
        <n v="1855.0"/>
        <n v="3138.0"/>
        <n v="3809.0"/>
        <n v="3874.0"/>
        <n v="2551.0"/>
        <n v="2283.0"/>
        <n v="4775.0"/>
        <n v="3929.0"/>
        <n v="4285.0"/>
        <n v="1018.0"/>
        <n v="3641.0"/>
        <n v="2746.0"/>
        <n v="1766.0"/>
        <n v="3711.0"/>
        <n v="3009.0"/>
        <n v="2936.0"/>
        <n v="296.0"/>
        <n v="2949.0"/>
        <n v="2509.0"/>
        <n v="2728.0"/>
        <n v="4350.0"/>
        <n v="4275.0"/>
        <n v="1171.0"/>
        <n v="2719.0"/>
        <n v="4450.0"/>
        <n v="4171.0"/>
        <n v="2076.0"/>
        <n v="2070.0"/>
        <n v="4780.0"/>
        <n v="3774.0"/>
        <n v="3557.0"/>
        <n v="3428.0"/>
        <n v="4929.0"/>
        <n v="4295.0"/>
        <n v="3166.0"/>
        <n v="4832.0"/>
        <n v="4905.0"/>
        <n v="1509.0"/>
        <n v="2143.0"/>
        <n v="1963.0"/>
        <n v="2795.0"/>
        <m/>
      </sharedItems>
    </cacheField>
    <cacheField name="Shares" numFmtId="4">
      <sharedItems containsString="0" containsBlank="1" containsNumber="1" containsInteger="1">
        <n v="772.0"/>
        <n v="594.0"/>
        <n v="126.0"/>
        <n v="158.0"/>
        <n v="711.0"/>
        <n v="680.0"/>
        <n v="928.0"/>
        <n v="94.0"/>
        <n v="116.0"/>
        <n v="550.0"/>
        <n v="453.0"/>
        <n v="190.0"/>
        <n v="173.0"/>
        <n v="930.0"/>
        <n v="925.0"/>
        <n v="874.0"/>
        <n v="831.0"/>
        <n v="111.0"/>
        <n v="476.0"/>
        <n v="338.0"/>
        <n v="78.0"/>
        <n v="555.0"/>
        <n v="517.0"/>
        <n v="148.0"/>
        <n v="47.0"/>
        <n v="19.0"/>
        <n v="498.0"/>
        <n v="686.0"/>
        <n v="941.0"/>
        <n v="400.0"/>
        <n v="726.0"/>
        <n v="297.0"/>
        <n v="824.0"/>
        <n v="514.0"/>
        <n v="266.0"/>
        <n v="653.0"/>
        <n v="134.0"/>
        <n v="640.0"/>
        <n v="48.0"/>
        <n v="511.0"/>
        <n v="119.0"/>
        <n v="808.0"/>
        <n v="851.0"/>
        <n v="566.0"/>
        <n v="51.0"/>
        <n v="628.0"/>
        <n v="252.0"/>
        <n v="248.0"/>
        <n v="187.0"/>
        <n v="714.0"/>
        <n v="697.0"/>
        <n v="397.0"/>
        <n v="504.0"/>
        <n v="17.0"/>
        <n v="547.0"/>
        <n v="465.0"/>
        <n v="377.0"/>
        <n v="667.0"/>
        <n v="106.0"/>
        <n v="754.0"/>
        <n v="935.0"/>
        <n v="33.0"/>
        <n v="265.0"/>
        <n v="553.0"/>
        <n v="525.0"/>
        <n v="629.0"/>
        <n v="761.0"/>
        <n v="902.0"/>
        <n v="145.0"/>
        <n v="532.0"/>
        <n v="89.0"/>
        <n v="652.0"/>
        <n v="253.0"/>
        <n v="426.0"/>
        <n v="568.0"/>
        <n v="931.0"/>
        <n v="385.0"/>
        <n v="604.0"/>
        <n v="451.0"/>
        <n v="31.0"/>
        <n v="897.0"/>
        <n v="770.0"/>
        <n v="643.0"/>
        <n v="784.0"/>
        <n v="746.0"/>
        <n v="701.0"/>
        <n v="932.0"/>
        <n v="675.0"/>
        <n v="616.0"/>
        <n v="590.0"/>
        <n v="153.0"/>
        <n v="951.0"/>
        <n v="690.0"/>
        <n v="164.0"/>
        <n v="649.0"/>
        <n v="375.0"/>
        <n v="658.0"/>
        <n v="118.0"/>
        <n v="749.0"/>
        <n v="888.0"/>
        <n v="695.0"/>
        <n v="466.0"/>
        <n v="569.0"/>
        <n v="624.0"/>
        <n v="304.0"/>
        <n v="973.0"/>
        <n v="459.0"/>
        <n v="363.0"/>
        <n v="464.0"/>
        <n v="414.0"/>
        <n v="842.0"/>
        <n v="694.0"/>
        <n v="38.0"/>
        <n v="623.0"/>
        <n v="753.0"/>
        <n v="929.0"/>
        <n v="501.0"/>
        <n v="16.0"/>
        <n v="796.0"/>
        <n v="614.0"/>
        <n v="405.0"/>
        <n v="149.0"/>
        <n v="59.0"/>
        <n v="417.0"/>
        <n v="382.0"/>
        <n v="519.0"/>
        <n v="167.0"/>
        <n v="818.0"/>
        <n v="61.0"/>
        <n v="29.0"/>
        <n v="263.0"/>
        <n v="137.0"/>
        <n v="771.0"/>
        <n v="527.0"/>
        <n v="376.0"/>
        <n v="821.0"/>
        <n v="88.0"/>
        <n v="125.0"/>
        <n v="837.0"/>
        <n v="869.0"/>
        <n v="892.0"/>
        <n v="285.0"/>
        <n v="960.0"/>
        <n v="559.0"/>
        <n v="917.0"/>
        <n v="488.0"/>
        <n v="39.0"/>
        <n v="299.0"/>
        <n v="62.0"/>
        <n v="592.0"/>
        <n v="81.0"/>
        <n v="163.0"/>
        <n v="978.0"/>
        <n v="171.0"/>
        <n v="470.0"/>
        <n v="745.0"/>
        <n v="354.0"/>
        <n v="857.0"/>
        <n v="765.0"/>
        <n v="195.0"/>
        <n v="374.0"/>
        <n v="10.0"/>
        <n v="197.0"/>
        <n v="877.0"/>
        <n v="430.0"/>
        <n v="177.0"/>
        <n v="249.0"/>
        <n v="215.0"/>
        <n v="752.0"/>
        <n v="344.0"/>
        <n v="43.0"/>
        <n v="313.0"/>
        <n v="340.0"/>
        <n v="983.0"/>
        <n v="866.0"/>
        <n v="151.0"/>
        <n v="967.0"/>
        <n v="115.0"/>
        <n v="689.0"/>
        <n v="876.0"/>
        <n v="236.0"/>
        <n v="836.0"/>
        <n v="121.0"/>
        <n v="549.0"/>
        <n v="366.0"/>
        <n v="871.0"/>
        <n v="317.0"/>
        <n v="911.0"/>
        <n v="626.0"/>
        <n v="209.0"/>
        <n v="184.0"/>
        <n v="262.0"/>
        <n v="77.0"/>
        <n v="593.0"/>
        <n v="192.0"/>
        <n v="546.0"/>
        <n v="717.0"/>
        <n v="204.0"/>
        <n v="324.0"/>
        <n v="135.0"/>
        <n v="535.0"/>
        <n v="494.0"/>
        <n v="750.0"/>
        <n v="389.0"/>
        <n v="295.0"/>
        <n v="201.0"/>
        <n v="596.0"/>
        <n v="721.0"/>
        <n v="66.0"/>
        <n v="97.0"/>
        <n v="277.0"/>
        <n v="211.0"/>
        <n v="13.0"/>
        <n v="302.0"/>
        <n v="325.0"/>
        <n v="217.0"/>
        <n v="362.0"/>
        <n v="966.0"/>
        <n v="639.0"/>
        <n v="942.0"/>
        <n v="789.0"/>
        <n v="820.0"/>
        <n v="186.0"/>
        <n v="904.0"/>
        <n v="472.0"/>
        <n v="971.0"/>
        <n v="238.0"/>
        <n v="794.0"/>
        <n v="130.0"/>
        <n v="200.0"/>
        <n v="123.0"/>
        <n v="273.0"/>
        <n v="884.0"/>
        <n v="915.0"/>
        <n v="210.0"/>
        <n v="886.0"/>
        <n v="447.0"/>
        <n v="226.0"/>
        <n v="156.0"/>
        <n v="92.0"/>
        <n v="352.0"/>
        <n v="413.0"/>
        <n v="439.0"/>
        <n v="60.0"/>
        <n v="533.0"/>
        <n v="286.0"/>
        <n v="548.0"/>
        <n v="275.0"/>
        <n v="691.0"/>
        <n v="239.0"/>
        <n v="687.0"/>
        <n v="305.0"/>
        <n v="853.0"/>
        <n v="90.0"/>
        <n v="893.0"/>
        <n v="845.0"/>
        <n v="12.0"/>
        <n v="213.0"/>
        <n v="105.0"/>
        <m/>
      </sharedItems>
    </cacheField>
    <cacheField name="Comments" numFmtId="4">
      <sharedItems containsString="0" containsBlank="1" containsNumber="1" containsInteger="1">
        <n v="400.0"/>
        <n v="156.0"/>
        <n v="153.0"/>
        <n v="149.0"/>
        <n v="298.0"/>
        <n v="434.0"/>
        <n v="301.0"/>
        <n v="488.0"/>
        <n v="37.0"/>
        <n v="420.0"/>
        <n v="270.0"/>
        <n v="490.0"/>
        <n v="340.0"/>
        <n v="276.0"/>
        <n v="355.0"/>
        <n v="350.0"/>
        <n v="172.0"/>
        <n v="345.0"/>
        <n v="69.0"/>
        <n v="485.0"/>
        <n v="131.0"/>
        <n v="117.0"/>
        <n v="253.0"/>
        <n v="430.0"/>
        <n v="351.0"/>
        <n v="367.0"/>
        <n v="377.0"/>
        <n v="376.0"/>
        <n v="241.0"/>
        <n v="99.0"/>
        <n v="238.0"/>
        <n v="8.0"/>
        <n v="363.0"/>
        <n v="482.0"/>
        <n v="403.0"/>
        <n v="240.0"/>
        <n v="306.0"/>
        <n v="70.0"/>
        <n v="7.0"/>
        <n v="404.0"/>
        <n v="342.0"/>
        <n v="164.0"/>
        <n v="392.0"/>
        <n v="443.0"/>
        <n v="335.0"/>
        <n v="416.0"/>
        <n v="260.0"/>
        <n v="207.0"/>
        <n v="357.0"/>
        <n v="239.0"/>
        <n v="295.0"/>
        <n v="316.0"/>
        <n v="360.0"/>
        <n v="395.0"/>
        <n v="327.0"/>
        <n v="54.0"/>
        <n v="274.0"/>
        <n v="134.0"/>
        <n v="174.0"/>
        <n v="500.0"/>
        <n v="177.0"/>
        <n v="176.0"/>
        <n v="47.0"/>
        <n v="225.0"/>
        <n v="71.0"/>
        <n v="442.0"/>
        <n v="486.0"/>
        <n v="127.0"/>
        <n v="230.0"/>
        <n v="310.0"/>
        <n v="128.0"/>
        <n v="286.0"/>
        <n v="279.0"/>
        <n v="85.0"/>
        <n v="19.0"/>
        <n v="136.0"/>
        <n v="183.0"/>
        <n v="315.0"/>
        <n v="412.0"/>
        <n v="287.0"/>
        <n v="478.0"/>
        <n v="324.0"/>
        <n v="432.0"/>
        <n v="393.0"/>
        <n v="275.0"/>
        <n v="26.0"/>
        <n v="205.0"/>
        <n v="318.0"/>
        <n v="140.0"/>
        <n v="323.0"/>
        <n v="441.0"/>
        <n v="15.0"/>
        <n v="111.0"/>
        <n v="444.0"/>
        <n v="75.0"/>
        <n v="288.0"/>
        <n v="55.0"/>
        <n v="428.0"/>
        <n v="123.0"/>
        <n v="170.0"/>
        <n v="63.0"/>
        <n v="266.0"/>
        <n v="138.0"/>
        <n v="394.0"/>
        <n v="246.0"/>
        <n v="101.0"/>
        <n v="289.0"/>
        <n v="211.0"/>
        <n v="42.0"/>
        <n v="72.0"/>
        <n v="387.0"/>
        <n v="497.0"/>
        <n v="423.0"/>
        <n v="130.0"/>
        <n v="168.0"/>
        <n v="325.0"/>
        <n v="22.0"/>
        <n v="56.0"/>
        <n v="157.0"/>
        <n v="41.0"/>
        <n v="171.0"/>
        <n v="329.0"/>
        <n v="219.0"/>
        <n v="135.0"/>
        <n v="33.0"/>
        <n v="499.0"/>
        <n v="300.0"/>
        <n v="349.0"/>
        <n v="320.0"/>
        <n v="103.0"/>
        <n v="383.0"/>
        <n v="160.0"/>
        <n v="129.0"/>
        <n v="373.0"/>
        <n v="78.0"/>
        <n v="38.0"/>
        <n v="179.0"/>
        <n v="379.0"/>
        <n v="93.0"/>
        <n v="162.0"/>
        <n v="280.0"/>
        <n v="496.0"/>
        <n v="450.0"/>
        <n v="321.0"/>
        <n v="212.0"/>
        <n v="257.0"/>
        <n v="152.0"/>
        <n v="413.0"/>
        <n v="243.0"/>
        <n v="35.0"/>
        <n v="281.0"/>
        <n v="409.0"/>
        <n v="216.0"/>
        <n v="415.0"/>
        <n v="202.0"/>
        <n v="401.0"/>
        <n v="64.0"/>
        <n v="291.0"/>
        <n v="405.0"/>
        <n v="366.0"/>
        <n v="352.0"/>
        <n v="369.0"/>
        <n v="169.0"/>
        <n v="458.0"/>
        <n v="268.0"/>
        <n v="347.0"/>
        <n v="344.0"/>
        <n v="375.0"/>
        <n v="484.0"/>
        <n v="244.0"/>
        <n v="402.0"/>
        <n v="228.0"/>
        <n v="322.0"/>
        <n v="150.0"/>
        <n v="45.0"/>
        <n v="297.0"/>
        <n v="18.0"/>
        <n v="493.0"/>
        <n v="362.0"/>
        <n v="82.0"/>
        <n v="31.0"/>
        <n v="44.0"/>
        <n v="118.0"/>
        <n v="197.0"/>
        <n v="20.0"/>
        <n v="57.0"/>
        <n v="32.0"/>
        <n v="13.0"/>
        <n v="80.0"/>
        <n v="398.0"/>
        <n v="43.0"/>
        <n v="433.0"/>
        <n v="470.0"/>
        <n v="333.0"/>
        <n v="142.0"/>
        <n v="229.0"/>
        <n v="472.0"/>
        <n v="21.0"/>
        <n v="36.0"/>
        <n v="77.0"/>
        <n v="90.0"/>
        <n v="200.0"/>
        <n v="206.0"/>
        <n v="278.0"/>
        <n v="332.0"/>
        <n v="46.0"/>
        <n v="203.0"/>
        <n v="424.0"/>
        <n v="290.0"/>
        <n v="358.0"/>
        <n v="141.0"/>
        <n v="215.0"/>
        <n v="385.0"/>
        <n v="231.0"/>
        <n v="285.0"/>
        <n v="143.0"/>
        <n v="86.0"/>
        <n v="104.0"/>
        <n v="386.0"/>
        <n v="380.0"/>
        <n v="39.0"/>
        <n v="452.0"/>
        <n v="341.0"/>
        <n v="10.0"/>
        <n v="163.0"/>
        <n v="204.0"/>
        <n v="49.0"/>
        <m/>
      </sharedItems>
    </cacheField>
    <cacheField name="Impressions" numFmtId="4">
      <sharedItems containsString="0" containsBlank="1" containsNumber="1" containsInteger="1">
        <n v="3582.0"/>
        <n v="4214.0"/>
        <n v="4430.0"/>
        <n v="3372.0"/>
        <n v="21180.0"/>
        <n v="6400.0"/>
        <n v="8580.0"/>
        <n v="12720.0"/>
        <n v="15040.0"/>
        <n v="8743.0"/>
        <n v="28824.0"/>
        <n v="14952.0"/>
        <n v="28602.0"/>
        <n v="28386.0"/>
        <n v="23560.0"/>
        <n v="24192.0"/>
        <n v="30247.0"/>
        <n v="17410.0"/>
        <n v="31171.0"/>
        <n v="16712.0"/>
        <n v="10417.0"/>
        <n v="18328.0"/>
        <n v="33936.0"/>
        <n v="23229.0"/>
        <n v="30624.0"/>
        <n v="5738.0"/>
        <n v="12570.0"/>
        <n v="29460.0"/>
        <n v="23352.0"/>
        <n v="35156.0"/>
        <n v="16884.0"/>
        <n v="28974.0"/>
        <n v="12320.0"/>
        <n v="41340.0"/>
        <n v="37670.0"/>
        <n v="35640.0"/>
        <n v="25396.0"/>
        <n v="43576.0"/>
        <n v="51579.0"/>
        <n v="50184.0"/>
        <n v="40579.0"/>
        <n v="53292.0"/>
        <n v="14712.0"/>
        <n v="56760.0"/>
        <n v="34979.0"/>
        <n v="48020.0"/>
        <n v="55796.0"/>
        <n v="45832.0"/>
        <n v="29936.0"/>
        <n v="43170.0"/>
        <n v="25120.0"/>
        <n v="68265.0"/>
        <n v="49440.0"/>
        <n v="25260.0"/>
        <n v="37400.0"/>
        <n v="51282.0"/>
        <n v="32120.0"/>
        <n v="24168.0"/>
        <n v="55232.0"/>
        <n v="64532.0"/>
        <n v="50565.0"/>
        <n v="43524.0"/>
        <n v="68634.0"/>
        <n v="44016.0"/>
        <n v="38112.0"/>
        <n v="52241.0"/>
        <n v="60480.0"/>
        <n v="60588.0"/>
        <n v="82824.0"/>
        <n v="67337.0"/>
        <n v="72097.0"/>
        <n v="69945.0"/>
        <n v="37296.0"/>
        <n v="29736.0"/>
        <n v="65588.0"/>
        <n v="75834.0"/>
        <n v="78394.0"/>
        <n v="84816.0"/>
        <n v="92120.0"/>
        <n v="70642.0"/>
        <n v="77760.0"/>
        <n v="86060.0"/>
        <n v="75960.0"/>
        <n v="588.0"/>
        <n v="1030.0"/>
        <n v="1290.0"/>
        <n v="1704.0"/>
        <n v="4168.0"/>
        <n v="4980.0"/>
        <n v="6895.0"/>
        <n v="9850.0"/>
        <n v="6984.0"/>
        <n v="11170.0"/>
        <n v="4680.0"/>
        <n v="3066.0"/>
        <n v="8586.0"/>
        <n v="13015.0"/>
        <n v="8705.0"/>
        <n v="21815.0"/>
        <n v="22505.0"/>
        <n v="22805.0"/>
        <n v="13044.0"/>
        <n v="12830.0"/>
        <n v="21450.0"/>
        <n v="21938.0"/>
        <n v="21606.0"/>
        <n v="24798.0"/>
        <n v="15660.0"/>
        <n v="25062.0"/>
        <n v="8208.0"/>
        <n v="6912.0"/>
        <n v="18529.0"/>
        <n v="11752.0"/>
        <n v="26048.0"/>
        <n v="19232.0"/>
        <n v="14112.0"/>
        <n v="39528.0"/>
        <n v="11882.0"/>
        <n v="21417.0"/>
        <n v="43191.0"/>
        <n v="43560.0"/>
        <n v="4482.0"/>
        <n v="19943.0"/>
        <n v="38753.0"/>
        <n v="21762.0"/>
        <n v="20691.0"/>
        <n v="33975.0"/>
        <n v="22032.0"/>
        <n v="25088.0"/>
        <n v="22906.0"/>
        <n v="4674.0"/>
        <n v="35590.0"/>
        <n v="19344.0"/>
        <n v="36000.0"/>
        <n v="16065.0"/>
        <n v="45738.0"/>
        <n v="57252.0"/>
        <n v="49753.0"/>
        <n v="19976.0"/>
        <n v="30520.0"/>
        <n v="43386.0"/>
        <n v="39884.0"/>
        <n v="60648.0"/>
        <n v="61607.0"/>
        <n v="69285.0"/>
        <n v="14500.0"/>
        <n v="59527.0"/>
        <n v="35819.0"/>
        <n v="72795.0"/>
        <n v="72120.0"/>
        <n v="54912.0"/>
        <n v="39957.0"/>
        <n v="72570.0"/>
        <n v="67770.0"/>
        <n v="69498.0"/>
        <n v="57276.0"/>
        <n v="71630.0"/>
        <n v="77026.0"/>
        <n v="55710.0"/>
        <n v="71687.0"/>
        <n v="37560.0"/>
        <n v="1494.0"/>
        <n v="954.0"/>
        <n v="590.0"/>
        <n v="6000.0"/>
        <n v="3024.0"/>
        <n v="7128.0"/>
        <n v="11262.0"/>
        <n v="10830.0"/>
        <n v="19020.0"/>
        <n v="12924.0"/>
        <n v="9336.0"/>
        <n v="9432.0"/>
        <n v="13668.0"/>
        <n v="6786.0"/>
        <n v="17613.0"/>
        <n v="17176.0"/>
        <n v="8864.0"/>
        <n v="15498.0"/>
        <n v="25543.0"/>
        <n v="21632.0"/>
        <n v="15616.0"/>
        <n v="4575.0"/>
        <n v="22673.0"/>
        <n v="15960.0"/>
        <n v="11836.0"/>
        <n v="34192.0"/>
        <n v="43974.0"/>
        <n v="34299.0"/>
        <n v="38000.0"/>
        <n v="32150.0"/>
        <n v="38010.0"/>
        <n v="21536.0"/>
        <n v="40000.0"/>
        <n v="27828.0"/>
        <n v="20878.0"/>
        <n v="51381.0"/>
        <n v="9707.0"/>
        <n v="44190.0"/>
        <n v="25200.0"/>
        <n v="49676.0"/>
        <n v="14115.0"/>
        <n v="28132.0"/>
        <n v="45840.0"/>
        <n v="19808.0"/>
        <n v="52650.0"/>
        <n v="53438.0"/>
        <n v="35370.0"/>
        <n v="50288.0"/>
        <n v="25840.0"/>
        <n v="19476.0"/>
        <n v="21915.0"/>
        <n v="14436.0"/>
        <n v="14886.0"/>
        <n v="53074.0"/>
        <n v="16722.0"/>
        <n v="27948.0"/>
        <n v="62916.0"/>
        <n v="44240.0"/>
        <n v="19080.0"/>
        <n v="15694.0"/>
        <n v="45200.0"/>
        <n v="53025.0"/>
        <n v="34040.0"/>
        <n v="64864.0"/>
        <n v="37050.0"/>
        <n v="75600.0"/>
        <n v="55965.0"/>
        <n v="61760.0"/>
        <n v="67963.0"/>
        <n v="86076.0"/>
        <n v="66992.0"/>
        <n v="42381.0"/>
        <n v="60084.0"/>
        <n v="59432.0"/>
        <n v="58480.0"/>
        <n v="63973.0"/>
        <n v="88768.0"/>
        <n v="90140.0"/>
        <n v="1040.0"/>
        <n v="3341.0"/>
        <n v="4020.0"/>
        <n v="5152.0"/>
        <n v="23305.0"/>
        <n v="20940.0"/>
        <n v="7878.0"/>
        <n v="12344.0"/>
        <n v="18390.0"/>
        <n v="20334.0"/>
        <n v="25928.0"/>
        <n v="18546.0"/>
        <n v="9846.0"/>
        <n v="39472.0"/>
        <n v="9648.0"/>
        <n v="32895.0"/>
        <n v="36189.0"/>
        <n v="16695.0"/>
        <n v="28242.0"/>
        <n v="34281.0"/>
        <n v="38740.0"/>
        <n v="30612.0"/>
        <n v="22830.0"/>
        <n v="47750.0"/>
        <n v="43219.0"/>
        <n v="55705.0"/>
        <n v="18324.0"/>
        <n v="40051.0"/>
        <n v="32952.0"/>
        <n v="24724.0"/>
        <n v="48243.0"/>
        <n v="42126.0"/>
        <n v="38168.0"/>
        <n v="5624.0"/>
        <n v="44235.0"/>
        <n v="35126.0"/>
        <n v="40920.0"/>
        <n v="60900.0"/>
        <n v="64125.0"/>
        <n v="22249.0"/>
        <n v="40785.0"/>
        <n v="75650.0"/>
        <n v="66736.0"/>
        <n v="33216.0"/>
        <n v="39330.0"/>
        <n v="86040.0"/>
        <n v="60384.0"/>
        <n v="71140.0"/>
        <n v="58276.0"/>
        <n v="93651.0"/>
        <n v="85900.0"/>
        <n v="56988.0"/>
        <n v="91808.0"/>
        <n v="98100.0"/>
        <n v="30180.0"/>
        <n v="40717.0"/>
        <n v="39260.0"/>
        <n v="53105.0"/>
        <m/>
      </sharedItems>
    </cacheField>
    <cacheField name="Reach" numFmtId="4">
      <sharedItems containsString="0" containsBlank="1" containsNumber="1" containsInteger="1">
        <n v="2988.0"/>
        <n v="3363.0"/>
        <n v="4037.0"/>
        <n v="2940.0"/>
        <n v="20516.0"/>
        <n v="5472.0"/>
        <n v="8081.0"/>
        <n v="12085.0"/>
        <n v="14639.0"/>
        <n v="8538.0"/>
        <n v="28370.0"/>
        <n v="14309.0"/>
        <n v="28044.0"/>
        <n v="28185.0"/>
        <n v="23275.0"/>
        <n v="23518.0"/>
        <n v="29254.0"/>
        <n v="16844.0"/>
        <n v="30565.0"/>
        <n v="16309.0"/>
        <n v="9730.0"/>
        <n v="18101.0"/>
        <n v="33802.0"/>
        <n v="22331.0"/>
        <n v="30229.0"/>
        <n v="4890.0"/>
        <n v="11660.0"/>
        <n v="28527.0"/>
        <n v="22982.0"/>
        <n v="34444.0"/>
        <n v="15954.0"/>
        <n v="28102.0"/>
        <n v="11978.0"/>
        <n v="41050.0"/>
        <n v="36807.0"/>
        <n v="34850.0"/>
        <n v="25286.0"/>
        <n v="43338.0"/>
        <n v="50924.0"/>
        <n v="49351.0"/>
        <n v="39588.0"/>
        <n v="53082.0"/>
        <n v="14049.0"/>
        <n v="56343.0"/>
        <n v="34154.0"/>
        <n v="47305.0"/>
        <n v="54826.0"/>
        <n v="45632.0"/>
        <n v="29576.0"/>
        <n v="42667.0"/>
        <n v="24613.0"/>
        <n v="67754.0"/>
        <n v="48524.0"/>
        <n v="24615.0"/>
        <n v="36938.0"/>
        <n v="50567.0"/>
        <n v="31736.0"/>
        <n v="23719.0"/>
        <n v="55075.0"/>
        <n v="63550.0"/>
        <n v="49816.0"/>
        <n v="42743.0"/>
        <n v="68488.0"/>
        <n v="43415.0"/>
        <n v="37437.0"/>
        <n v="51605.0"/>
        <n v="59610.0"/>
        <n v="59627.0"/>
        <n v="82543.0"/>
        <n v="66615.0"/>
        <n v="71598.0"/>
        <n v="69596.0"/>
        <n v="36467.0"/>
        <n v="28771.0"/>
        <n v="65049.0"/>
        <n v="75437.0"/>
        <n v="77798.0"/>
        <n v="84691.0"/>
        <n v="91440.0"/>
        <n v="69749.0"/>
        <n v="77167.0"/>
        <n v="85823.0"/>
        <n v="75813.0"/>
        <n v="8.0"/>
        <n v="410.0"/>
        <n v="839.0"/>
        <n v="995.0"/>
        <n v="3399.0"/>
        <n v="4185.0"/>
        <n v="6757.0"/>
        <n v="8924.0"/>
        <n v="6636.0"/>
        <n v="10569.0"/>
        <n v="4322.0"/>
        <n v="2701.0"/>
        <n v="8396.0"/>
        <n v="12130.0"/>
        <n v="8272.0"/>
        <n v="21481.0"/>
        <n v="21836.0"/>
        <n v="21890.0"/>
        <n v="12206.0"/>
        <n v="12264.0"/>
        <n v="20785.0"/>
        <n v="21337.0"/>
        <n v="21454.0"/>
        <n v="24620.0"/>
        <n v="15145.0"/>
        <n v="24847.0"/>
        <n v="7377.0"/>
        <n v="6259.0"/>
        <n v="17841.0"/>
        <n v="11580.0"/>
        <n v="25529.0"/>
        <n v="18636.0"/>
        <n v="13588.0"/>
        <n v="39154.0"/>
        <n v="11500.0"/>
        <n v="20967.0"/>
        <n v="42228.0"/>
        <n v="43225.0"/>
        <n v="3647.0"/>
        <n v="18959.0"/>
        <n v="38579.0"/>
        <n v="20998.0"/>
        <n v="19987.0"/>
        <n v="33310.0"/>
        <n v="21869.0"/>
        <n v="24675.0"/>
        <n v="21925.0"/>
        <n v="4390.0"/>
        <n v="35105.0"/>
        <n v="18395.0"/>
        <n v="35819.0"/>
        <n v="15865.0"/>
        <n v="45183.0"/>
        <n v="56378.0"/>
        <n v="49329.0"/>
        <n v="19262.0"/>
        <n v="30059.0"/>
        <n v="42921.0"/>
        <n v="39404.0"/>
        <n v="60397.0"/>
        <n v="61333.0"/>
        <n v="20509.0"/>
        <n v="69141.0"/>
        <n v="13637.0"/>
        <n v="59400.0"/>
        <n v="35340.0"/>
        <n v="72237.0"/>
        <n v="71696.0"/>
        <n v="53916.0"/>
        <n v="39466.0"/>
        <n v="72396.0"/>
        <n v="67621.0"/>
        <n v="68817.0"/>
        <n v="56890.0"/>
        <n v="71322.0"/>
        <n v="76881.0"/>
        <n v="54808.0"/>
        <n v="71447.0"/>
        <n v="36874.0"/>
        <n v="1044.0"/>
        <n v="7.0"/>
        <n v="475.0"/>
        <n v="5221.0"/>
        <n v="2285.0"/>
        <n v="6145.0"/>
        <n v="10967.0"/>
        <n v="10245.0"/>
        <n v="18559.0"/>
        <n v="12701.0"/>
        <n v="8875.0"/>
        <n v="8882.0"/>
        <n v="12676.0"/>
        <n v="12564.0"/>
        <n v="6221.0"/>
        <n v="16865.0"/>
        <n v="16483.0"/>
        <n v="8710.0"/>
        <n v="14800.0"/>
        <n v="24963.0"/>
        <n v="20792.0"/>
        <n v="15403.0"/>
        <n v="3704.0"/>
        <n v="22171.0"/>
        <n v="15379.0"/>
        <n v="11596.0"/>
        <n v="33446.0"/>
        <n v="43239.0"/>
        <n v="34088.0"/>
        <n v="37792.0"/>
        <n v="31404.0"/>
        <n v="37625.0"/>
        <n v="21120.0"/>
        <n v="39569.0"/>
        <n v="27217.0"/>
        <n v="20190.0"/>
        <n v="50565.0"/>
        <n v="9418.0"/>
        <n v="43582.0"/>
        <n v="24826.0"/>
        <n v="49257.0"/>
        <n v="13838.0"/>
        <n v="27361.0"/>
        <n v="45631.0"/>
        <n v="19334.0"/>
        <n v="51755.0"/>
        <n v="52687.0"/>
        <n v="34475.0"/>
        <n v="49490.0"/>
        <n v="24916.0"/>
        <n v="18654.0"/>
        <n v="21675.0"/>
        <n v="14280.0"/>
        <n v="14129.0"/>
        <n v="52613.0"/>
        <n v="15996.0"/>
        <n v="27184.0"/>
        <n v="62688.0"/>
        <n v="43666.0"/>
        <n v="18859.0"/>
        <n v="14957.0"/>
        <n v="44739.0"/>
        <n v="52791.0"/>
        <n v="33174.0"/>
        <n v="64383.0"/>
        <n v="36272.0"/>
        <n v="74927.0"/>
        <n v="55436.0"/>
        <n v="61660.0"/>
        <n v="67839.0"/>
        <n v="85339.0"/>
        <n v="66614.0"/>
        <n v="41991.0"/>
        <n v="59842.0"/>
        <n v="59182.0"/>
        <n v="58146.0"/>
        <n v="63789.0"/>
        <n v="87833.0"/>
        <n v="89591.0"/>
        <n v="349.0"/>
        <n v="2753.0"/>
        <n v="3144.0"/>
        <n v="4706.0"/>
        <n v="22583.0"/>
        <n v="20471.0"/>
        <n v="7389.0"/>
        <n v="11496.0"/>
        <n v="17875.0"/>
        <n v="19443.0"/>
        <n v="25081.0"/>
        <n v="18171.0"/>
        <n v="9609.0"/>
        <n v="39025.0"/>
        <n v="9417.0"/>
        <n v="32015.0"/>
        <n v="35505.0"/>
        <n v="21288.0"/>
        <n v="16330.0"/>
        <n v="27550.0"/>
        <n v="33534.0"/>
        <n v="38552.0"/>
        <n v="30360.0"/>
        <n v="22617.0"/>
        <n v="47544.0"/>
        <n v="42841.0"/>
        <n v="55556.0"/>
        <n v="18164.0"/>
        <n v="39319.0"/>
        <n v="32147.0"/>
        <n v="24333.0"/>
        <n v="47579.0"/>
        <n v="41309.0"/>
        <n v="37571.0"/>
        <n v="5239.0"/>
        <n v="43705.0"/>
        <n v="34685.0"/>
        <n v="40816.0"/>
        <n v="60592.0"/>
        <n v="63650.0"/>
        <n v="21282.0"/>
        <n v="40281.0"/>
        <n v="75008.0"/>
        <n v="66634.0"/>
        <n v="32244.0"/>
        <n v="38627.0"/>
        <n v="85743.0"/>
        <n v="59490.0"/>
        <n v="70701.0"/>
        <n v="58052.0"/>
        <n v="92810.0"/>
        <n v="85788.0"/>
        <n v="56125.0"/>
        <n v="91296.0"/>
        <n v="97772.0"/>
        <n v="29689.0"/>
        <n v="40125.0"/>
        <n v="38771.0"/>
        <n v="52307.0"/>
        <m/>
      </sharedItems>
    </cacheField>
    <cacheField name="Clicks" numFmtId="4">
      <sharedItems containsString="0" containsBlank="1" containsNumber="1" containsInteger="1">
        <n v="43.0"/>
        <n v="164.0"/>
        <n v="212.0"/>
        <n v="93.0"/>
        <n v="238.0"/>
        <n v="160.0"/>
        <n v="91.0"/>
        <n v="17.0"/>
        <n v="277.0"/>
        <n v="63.0"/>
        <n v="47.0"/>
        <n v="275.0"/>
        <n v="210.0"/>
        <n v="89.0"/>
        <n v="256.0"/>
        <n v="36.0"/>
        <n v="122.0"/>
        <n v="58.0"/>
        <n v="23.0"/>
        <n v="64.0"/>
        <n v="34.0"/>
        <n v="10.0"/>
        <n v="265.0"/>
        <n v="70.0"/>
        <n v="235.0"/>
        <n v="25.0"/>
        <n v="194.0"/>
        <n v="60.0"/>
        <n v="213.0"/>
        <n v="241.0"/>
        <n v="113.0"/>
        <n v="177.0"/>
        <n v="226.0"/>
        <n v="208.0"/>
        <n v="39.0"/>
        <n v="240.0"/>
        <n v="173.0"/>
        <n v="159.0"/>
        <n v="123.0"/>
        <n v="131.0"/>
        <n v="255.0"/>
        <n v="120.0"/>
        <n v="264.0"/>
        <n v="248.0"/>
        <n v="288.0"/>
        <n v="75.0"/>
        <n v="133.0"/>
        <n v="57.0"/>
        <n v="137.0"/>
        <n v="225.0"/>
        <n v="84.0"/>
        <n v="42.0"/>
        <n v="87.0"/>
        <n v="292.0"/>
        <n v="176.0"/>
        <n v="182.0"/>
        <n v="251.0"/>
        <n v="129.0"/>
        <n v="249.0"/>
        <n v="246.0"/>
        <n v="192.0"/>
        <n v="92.0"/>
        <n v="161.0"/>
        <n v="167.0"/>
        <n v="35.0"/>
        <n v="215.0"/>
        <n v="158.0"/>
        <n v="272.0"/>
        <n v="88.0"/>
        <n v="100.0"/>
        <n v="56.0"/>
        <n v="233.0"/>
        <n v="20.0"/>
        <n v="14.0"/>
        <n v="266.0"/>
        <n v="12.0"/>
        <n v="262.0"/>
        <n v="154.0"/>
        <n v="282.0"/>
        <n v="185.0"/>
        <n v="117.0"/>
        <n v="82.0"/>
        <n v="198.0"/>
        <n v="150.0"/>
        <n v="121.0"/>
        <n v="157.0"/>
        <n v="132.0"/>
        <n v="45.0"/>
        <n v="221.0"/>
        <n v="195.0"/>
        <n v="130.0"/>
        <n v="172.0"/>
        <n v="73.0"/>
        <n v="230.0"/>
        <n v="205.0"/>
        <n v="79.0"/>
        <n v="46.0"/>
        <n v="143.0"/>
        <n v="128.0"/>
        <n v="217.0"/>
        <n v="186.0"/>
        <n v="118.0"/>
        <n v="32.0"/>
        <n v="85.0"/>
        <n v="270.0"/>
        <n v="289.0"/>
        <n v="271.0"/>
        <n v="189.0"/>
        <n v="65.0"/>
        <n v="30.0"/>
        <n v="19.0"/>
        <n v="103.0"/>
        <n v="142.0"/>
        <n v="71.0"/>
        <n v="283.0"/>
        <n v="174.0"/>
        <n v="52.0"/>
        <n v="298.0"/>
        <n v="200.0"/>
        <n v="269.0"/>
        <n v="191.0"/>
        <n v="170.0"/>
        <n v="28.0"/>
        <n v="83.0"/>
        <n v="31.0"/>
        <n v="297.0"/>
        <n v="163.0"/>
        <n v="76.0"/>
        <n v="286.0"/>
        <n v="201.0"/>
        <n v="148.0"/>
        <n v="293.0"/>
        <n v="223.0"/>
        <n v="184.0"/>
        <n v="41.0"/>
        <n v="24.0"/>
        <n v="197.0"/>
        <n v="21.0"/>
        <n v="97.0"/>
        <n v="180.0"/>
        <n v="127.0"/>
        <n v="234.0"/>
        <n v="229.0"/>
        <n v="104.0"/>
        <n v="299.0"/>
        <n v="236.0"/>
        <n v="224.0"/>
        <n v="44.0"/>
        <n v="102.0"/>
        <n v="219.0"/>
        <n v="245.0"/>
        <n v="231.0"/>
        <n v="171.0"/>
        <n v="209.0"/>
        <n v="216.0"/>
        <n v="149.0"/>
        <n v="15.0"/>
        <n v="49.0"/>
        <n v="254.0"/>
        <n v="145.0"/>
        <n v="300.0"/>
        <n v="99.0"/>
        <n v="169.0"/>
        <n v="119.0"/>
        <n v="53.0"/>
        <n v="62.0"/>
        <n v="242.0"/>
        <n v="252.0"/>
        <n v="125.0"/>
        <n v="287.0"/>
        <n v="11.0"/>
        <n v="239.0"/>
        <n v="228.0"/>
        <n v="112.0"/>
        <n v="237.0"/>
        <n v="199.0"/>
        <n v="227.0"/>
        <n v="187.0"/>
        <n v="51.0"/>
        <n v="38.0"/>
        <n v="296.0"/>
        <n v="147.0"/>
        <n v="211.0"/>
        <n v="22.0"/>
        <n v="135.0"/>
        <n v="114.0"/>
        <n v="40.0"/>
        <n v="66.0"/>
        <n v="290.0"/>
        <n v="279.0"/>
        <n v="204.0"/>
        <m/>
      </sharedItems>
    </cacheField>
    <cacheField name="Hashtag_Clean_1" numFmtId="0">
      <sharedItems containsBlank="1">
        <s v="PepsiCoRefresh"/>
        <s v="ThirstyForMore"/>
        <s v="LiveForNow"/>
        <m/>
      </sharedItems>
    </cacheField>
    <cacheField name="hashtag_clean2" numFmtId="0">
      <sharedItems containsBlank="1">
        <s v=""/>
        <s v="SmoothLikeNitroPepsi"/>
        <s v="AnytimeIsPepsiTime"/>
        <s v="ThirstyForMore"/>
        <s v="PepsiCoRefresh"/>
        <s v="BetterWithPepsi"/>
        <m/>
      </sharedItems>
    </cacheField>
    <cacheField name="hashtag_clean3" numFmtId="0">
      <sharedItems containsBlank="1">
        <s v=""/>
        <s v="ThirstyForMore"/>
        <s v="BetterWithPepsi"/>
        <s v="AnytimeIsPepsiTime"/>
        <m/>
      </sharedItems>
    </cacheField>
    <cacheField name="Engagement_Rate" numFmtId="10">
      <sharedItems containsString="0" containsBlank="1" containsNumber="1">
        <n v="0.38274706867671693"/>
        <n v="0.32083531086853345"/>
        <n v="0.26297968397291194"/>
        <n v="0.25771055753262156"/>
        <n v="0.2476392823418319"/>
        <n v="0.2365625"/>
        <n v="0.23414918414918415"/>
        <n v="0.21745283018867925"/>
        <n v="0.2087101063829787"/>
        <n v="0.20416333066453163"/>
        <n v="0.19511518179295032"/>
        <n v="0.18806848582129482"/>
        <n v="0.1851968393818614"/>
        <n v="0.18248432325794406"/>
        <n v="0.17954159592529711"/>
        <n v="0.17770337301587302"/>
        <n v="0.1774390848679208"/>
        <n v="0.1675473865594486"/>
        <n v="0.1598922075005614"/>
        <n v="0.15761129727142173"/>
        <n v="0.1569549774407219"/>
        <n v="0.15571802706241816"/>
        <n v="0.14521452145214522"/>
        <n v="0.13840458048129492"/>
        <n v="0.13809430512016718"/>
        <n v="0.1357615894039735"/>
        <n v="0.1294351630867144"/>
        <n v="0.12936184657162253"/>
        <n v="0.12885405960945528"/>
        <n v="0.1283706906360223"/>
        <n v="0.12781331438047855"/>
        <n v="0.12428384068475185"/>
        <n v="0.12353896103896105"/>
        <n v="0.12232704402515723"/>
        <n v="0.1199628351473321"/>
        <n v="0.11879910213243547"/>
        <n v="0.11143487163332809"/>
        <n v="0.1095786671562328"/>
        <n v="0.10132030477519921"/>
        <n v="0.10086880280567512"/>
        <n v="0.09963281500283398"/>
        <n v="0.09423553253771673"/>
        <n v="0.09189777052746058"/>
        <n v="0.08801973220577872"/>
        <n v="0.08673775693987822"/>
        <n v="0.08663057059558517"/>
        <n v="0.084862714173059"/>
        <n v="0.0821914819340199"/>
        <n v="0.0821084981293426"/>
        <n v="0.08204771832290943"/>
        <n v="0.08029458598726115"/>
        <n v="0.08015820698747528"/>
        <n v="0.07991504854368932"/>
        <n v="0.07984956452889945"/>
        <n v="0.07868983957219251"/>
        <n v="0.07751257751257751"/>
        <n v="0.07686799501867995"/>
        <n v="0.0759682224428997"/>
        <n v="0.07584371378910776"/>
        <n v="0.07528048100167359"/>
        <n v="0.07522990210619994"/>
        <n v="0.07412002573292896"/>
        <n v="0.07317073170731707"/>
        <n v="0.0730189022173755"/>
        <n v="0.0729691435768262"/>
        <n v="0.07273980207117016"/>
        <n v="0.07250330687830688"/>
        <n v="0.07212649369512114"/>
        <n v="0.07211677774558099"/>
        <n v="0.07207033280365921"/>
        <n v="0.07198635172059864"/>
        <n v="0.07195653727929087"/>
        <n v="0.07172350922350923"/>
        <n v="0.07055421038471886"/>
        <n v="0.06931145941330731"/>
        <n v="0.06461481657304112"/>
        <n v="0.06426512233079062"/>
        <n v="0.06374976419543482"/>
        <n v="0.06260312635692575"/>
        <n v="0.06246991874522239"/>
        <n v="0.05941358024691358"/>
        <n v="0.058563792702765516"/>
        <n v="0.0540810953133228"/>
        <n v="1.8129251700680271"/>
        <n v="0.8660194174757282"/>
        <n v="0.703875968992248"/>
        <n v="0.6508215962441315"/>
        <n v="0.3795585412667946"/>
        <n v="0.32349397590361445"/>
        <n v="0.31965192168237855"/>
        <n v="0.3170558375634518"/>
        <n v="0.30126002290950743"/>
        <n v="0.2971351835273053"/>
        <n v="0.28696581196581195"/>
        <n v="0.28245270711024134"/>
        <n v="0.28045655718611695"/>
        <n v="0.26876680752977333"/>
        <n v="0.2553704767375072"/>
        <n v="0.2361677744671098"/>
        <n v="0.23101532992668297"/>
        <n v="0.22157421618066214"/>
        <n v="0.21826126954921804"/>
        <n v="0.21208106001558846"/>
        <n v="0.20675990675990677"/>
        <n v="0.20357370772176134"/>
        <n v="0.2023049153013052"/>
        <n v="0.19864505202032423"/>
        <n v="0.19310344827586207"/>
        <n v="0.19156491900087783"/>
        <n v="0.18433235867446393"/>
        <n v="0.17057291666666666"/>
        <n v="0.16843866371633656"/>
        <n v="0.1650782845473111"/>
        <n v="0.15283323095823095"/>
        <n v="0.15105033277870217"/>
        <n v="0.1441326530612245"/>
        <n v="0.14220299534507186"/>
        <n v="0.1366773270493183"/>
        <n v="0.13493953401503478"/>
        <n v="0.13387048227640017"/>
        <n v="0.13106060606060607"/>
        <n v="0.12896028558679162"/>
        <n v="0.12575841147269717"/>
        <n v="0.12277759141227776"/>
        <n v="0.12131237937689551"/>
        <n v="0.11990720603160794"/>
        <n v="0.11861662987490802"/>
        <n v="0.11619462599854757"/>
        <n v="0.11571269132653061"/>
        <n v="0.11307081114118571"/>
        <n v="0.1123234916559692"/>
        <n v="0.10977802753582468"/>
        <n v="0.1071650124069479"/>
        <n v="0.10297222222222223"/>
        <n v="0.10034235916588857"/>
        <n v="0.0998294634658271"/>
        <n v="0.09859917557465242"/>
        <n v="0.09529073623701083"/>
        <n v="0.09441329595514618"/>
        <n v="0.09272608125819135"/>
        <n v="0.09136587839395197"/>
        <n v="0.08860696018453515"/>
        <n v="0.08775227542540562"/>
        <n v="0.08766860908662977"/>
        <n v="0.08573426573426574"/>
        <n v="0.08571840946813884"/>
        <n v="0.08558620689655172"/>
        <n v="0.08406269423958876"/>
        <n v="0.083921940869371"/>
        <n v="0.08283535957139913"/>
        <n v="0.08180809761508596"/>
        <n v="0.08056526806526806"/>
        <n v="0.07753334834947569"/>
        <n v="0.07724955215653852"/>
        <n v="0.07652353548767891"/>
        <n v="0.07082218193329304"/>
        <n v="0.06810880648089951"/>
        <n v="0.06723439899483456"/>
        <n v="0.06380962272479422"/>
        <n v="0.057655717106444085"/>
        <n v="0.05733257075899396"/>
        <n v="0.05641640042598509"/>
        <n v="0.7168674698795181"/>
        <n v="0.5377358490566038"/>
        <n v="0.5338983050847458"/>
        <n v="0.3566666666666667"/>
        <n v="0.2919973544973545"/>
        <n v="0.2570145903479237"/>
        <n v="0.25279701651571657"/>
        <n v="0.24349030470914126"/>
        <n v="0.2316508937960042"/>
        <n v="0.20868152274837512"/>
        <n v="0.2015852613538989"/>
        <n v="0.1984732824427481"/>
        <n v="0.1908838162130524"/>
        <n v="0.18632075471698112"/>
        <n v="0.17801355732390214"/>
        <n v="0.17441662408448305"/>
        <n v="0.17291569632044715"/>
        <n v="0.16888537906137185"/>
        <n v="0.1687314492192541"/>
        <n v="0.16744313510550835"/>
        <n v="0.16683616863905326"/>
        <n v="0.16540727459016394"/>
        <n v="0.16065573770491803"/>
        <n v="0.15405989502933004"/>
        <n v="0.14348370927318296"/>
        <n v="0.14320716458262928"/>
        <n v="0.1431621431913898"/>
        <n v="0.14276618001546368"/>
        <n v="0.14265722032712325"/>
        <n v="0.13989473684210527"/>
        <n v="0.13614307931570763"/>
        <n v="0.13599052880820836"/>
        <n v="0.13331166419019316"/>
        <n v="0.129425"/>
        <n v="0.1253773178094006"/>
        <n v="0.11792317271769326"/>
        <n v="0.11508145034156594"/>
        <n v="0.11465952405480581"/>
        <n v="0.11369088028965829"/>
        <n v="0.11238095238095239"/>
        <n v="0.11114018842096787"/>
        <n v="0.10768685795253277"/>
        <n v="0.10617801791554102"/>
        <n v="0.1043848167539267"/>
        <n v="0.10339256865912763"/>
        <n v="0.10005698005698006"/>
        <n v="0.09925521164714249"/>
        <n v="0.09855810008481765"/>
        <n v="0.09700127266942411"/>
        <n v="0.09342105263157895"/>
        <n v="0.09113781063873486"/>
        <n v="0.09075975359342915"/>
        <n v="0.09060681629260182"/>
        <n v="0.08773344081687491"/>
        <n v="0.0868975392847722"/>
        <n v="0.0862935055615357"/>
        <n v="0.0837269214255045"/>
        <n v="0.08353995803929049"/>
        <n v="0.08275316455696202"/>
        <n v="0.0820754716981132"/>
        <n v="0.08117752007136485"/>
        <n v="0.08086283185840708"/>
        <n v="0.07884959924563885"/>
        <n v="0.07729142185663924"/>
        <n v="0.07609768130241737"/>
        <n v="0.07349527665317139"/>
        <n v="0.07257936507936508"/>
        <n v="0.07113374430447601"/>
        <n v="0.0702720207253886"/>
        <n v="0.06865500345776378"/>
        <n v="0.06488452065616432"/>
        <n v="0.0639479340816814"/>
        <n v="0.062150491965739366"/>
        <n v="0.062129685107516146"/>
        <n v="0.059496567505720827"/>
        <n v="0.05938782489740082"/>
        <n v="0.05824332140121614"/>
        <n v="0.05665329848594088"/>
        <n v="0.0525515864211227"/>
        <n v="0.5019230769230769"/>
        <n v="0.48518407662376534"/>
        <n v="0.36965174129353234"/>
        <n v="0.3361801242236025"/>
        <n v="0.2586998498176357"/>
        <n v="0.25062082139446035"/>
        <n v="0.23673521198273673"/>
        <n v="0.21840570317563188"/>
        <n v="0.21636759108210984"/>
        <n v="0.1948460706206354"/>
        <n v="0.16769515581610614"/>
        <n v="0.1651029871670441"/>
        <n v="0.1611822059719683"/>
        <n v="0.15355188488042157"/>
        <n v="0.15339966832504145"/>
        <n v="0.13707250341997265"/>
        <n v="0.13517919809886983"/>
        <n v="0.13498547567175018"/>
        <n v="0.13351302785265048"/>
        <n v="0.12577012959422137"/>
        <n v="0.12490884163239112"/>
        <n v="0.123309241094476"/>
        <n v="0.1199202926956749"/>
        <n v="0.11489268506351293"/>
        <n v="0.10793717277486911"/>
        <n v="0.10340359564080613"/>
        <n v="0.09957813481734135"/>
        <n v="0.09806810740013097"/>
        <n v="0.09770043194926468"/>
        <n v="0.09422796795338674"/>
        <n v="0.09229898074745187"/>
        <n v="0.09023070704558174"/>
        <n v="0.0897308075772682"/>
        <n v="0.08957765667574932"/>
        <n v="0.08837126600284495"/>
        <n v="0.08653780942692438"/>
        <n v="0.08552069691966065"/>
        <n v="0.08494623655913978"/>
        <n v="0.08420361247947455"/>
        <n v="0.08327485380116958"/>
        <n v="0.0758685783630725"/>
        <n v="0.07407134976094153"/>
        <n v="0.07370786516853933"/>
        <n v="0.07200011987532966"/>
        <n v="0.0715016859344894"/>
        <n v="0.06943808797355708"/>
        <n v="0.06800325430032543"/>
        <n v="0.06710386857445681"/>
        <n v="0.06561709305594603"/>
        <n v="0.06551582126432837"/>
        <n v="0.06545578797877225"/>
        <n v="0.06371362048894062"/>
        <n v="0.06311855127395241"/>
        <n v="0.06246732310909724"/>
        <n v="0.059928644240570844"/>
        <n v="0.0583167660702452"/>
        <n v="0.05793648844463001"/>
        <n v="0.05590932246561386"/>
        <n v="0.05553149420958479"/>
        <m/>
      </sharedItems>
    </cacheField>
    <cacheField name="Post_Date_Num" numFmtId="164">
      <sharedItems containsDate="1" containsString="0" containsBlank="1">
        <d v="2025-04-02T00:00:00Z"/>
        <d v="2025-05-13T00:00:00Z"/>
        <d v="2025-02-02T00:00:00Z"/>
        <d v="2025-02-10T00:00:00Z"/>
        <d v="2025-04-06T00:00:00Z"/>
        <d v="2024-10-11T00:00:00Z"/>
        <d v="2024-10-21T00:00:00Z"/>
        <d v="2024-11-25T00:00:00Z"/>
        <d v="2024-07-31T00:00:00Z"/>
        <d v="2025-03-04T00:00:00Z"/>
        <d v="2025-04-22T00:00:00Z"/>
        <d v="2024-06-11T00:00:00Z"/>
        <d v="2024-07-07T00:00:00Z"/>
        <d v="2024-06-19T00:00:00Z"/>
        <d v="2024-10-31T00:00:00Z"/>
        <d v="2025-01-06T00:00:00Z"/>
        <d v="2025-01-18T00:00:00Z"/>
        <d v="2024-08-05T00:00:00Z"/>
        <d v="2025-03-23T00:00:00Z"/>
        <d v="2025-04-28T00:00:00Z"/>
        <d v="2025-01-03T00:00:00Z"/>
        <d v="2024-07-15T00:00:00Z"/>
        <d v="2025-02-16T00:00:00Z"/>
        <d v="2024-08-26T00:00:00Z"/>
        <d v="2024-06-22T00:00:00Z"/>
        <d v="2024-08-19T00:00:00Z"/>
        <d v="2024-12-18T00:00:00Z"/>
        <d v="2024-07-21T00:00:00Z"/>
        <d v="2024-12-22T00:00:00Z"/>
        <d v="2024-08-21T00:00:00Z"/>
        <d v="2025-05-14T00:00:00Z"/>
        <d v="2024-11-17T00:00:00Z"/>
        <d v="2025-01-12T00:00:00Z"/>
        <d v="2025-04-03T00:00:00Z"/>
        <d v="2024-08-27T00:00:00Z"/>
        <d v="2024-10-08T00:00:00Z"/>
        <d v="2024-10-22T00:00:00Z"/>
        <d v="2025-05-05T00:00:00Z"/>
        <d v="2024-06-17T00:00:00Z"/>
        <d v="2024-08-30T00:00:00Z"/>
        <d v="2024-12-09T00:00:00Z"/>
        <d v="2025-04-01T00:00:00Z"/>
        <d v="2024-08-24T00:00:00Z"/>
        <d v="2025-05-01T00:00:00Z"/>
        <d v="2024-06-02T00:00:00Z"/>
        <d v="2024-08-17T00:00:00Z"/>
        <d v="2025-02-27T00:00:00Z"/>
        <d v="2024-11-04T00:00:00Z"/>
        <d v="2025-03-24T00:00:00Z"/>
        <d v="2024-06-13T00:00:00Z"/>
        <d v="2024-11-06T00:00:00Z"/>
        <d v="2024-06-01T00:00:00Z"/>
        <d v="2024-11-01T00:00:00Z"/>
        <d v="2024-11-12T00:00:00Z"/>
        <d v="2024-11-28T00:00:00Z"/>
        <d v="2025-03-08T00:00:00Z"/>
        <d v="2024-08-14T00:00:00Z"/>
        <d v="2025-05-06T00:00:00Z"/>
        <d v="2025-01-23T00:00:00Z"/>
        <d v="2025-03-11T00:00:00Z"/>
        <d v="2025-02-06T00:00:00Z"/>
        <d v="2025-03-26T00:00:00Z"/>
        <d v="2025-01-27T00:00:00Z"/>
        <d v="2024-10-18T00:00:00Z"/>
        <d v="2025-03-29T00:00:00Z"/>
        <d v="2024-12-03T00:00:00Z"/>
        <d v="2025-04-07T00:00:00Z"/>
        <d v="2024-10-24T00:00:00Z"/>
        <d v="2024-06-20T00:00:00Z"/>
        <d v="2025-04-15T00:00:00Z"/>
        <d v="2024-11-07T00:00:00Z"/>
        <d v="2025-01-17T00:00:00Z"/>
        <d v="2024-12-23T00:00:00Z"/>
        <d v="2024-07-29T00:00:00Z"/>
        <d v="2024-10-09T00:00:00Z"/>
        <d v="2025-02-07T00:00:00Z"/>
        <d v="2024-08-15T00:00:00Z"/>
        <d v="2025-01-01T00:00:00Z"/>
        <d v="2024-12-17T00:00:00Z"/>
        <d v="2024-12-16T00:00:00Z"/>
        <d v="2024-12-11T00:00:00Z"/>
        <d v="2024-08-20T00:00:00Z"/>
        <d v="2024-08-07T00:00:00Z"/>
        <d v="2024-06-14T00:00:00Z"/>
        <d v="2025-04-08T00:00:00Z"/>
        <d v="2024-11-05T00:00:00Z"/>
        <d v="2024-12-14T00:00:00Z"/>
        <d v="2025-01-31T00:00:00Z"/>
        <d v="2024-10-17T00:00:00Z"/>
        <d v="2024-07-11T00:00:00Z"/>
        <d v="2024-12-08T00:00:00Z"/>
        <d v="2025-04-19T00:00:00Z"/>
        <d v="2025-01-28T00:00:00Z"/>
        <d v="2024-08-12T00:00:00Z"/>
        <d v="2024-11-29T00:00:00Z"/>
        <d v="2025-03-27T00:00:00Z"/>
        <d v="2024-07-03T00:00:00Z"/>
        <d v="2024-12-19T00:00:00Z"/>
        <d v="2024-08-01T00:00:00Z"/>
        <d v="2025-03-28T00:00:00Z"/>
        <d v="2024-11-30T00:00:00Z"/>
        <d v="2024-08-11T00:00:00Z"/>
        <d v="2024-06-12T00:00:00Z"/>
        <d v="2024-07-26T00:00:00Z"/>
        <d v="2024-10-03T00:00:00Z"/>
        <d v="2024-06-23T00:00:00Z"/>
        <d v="2025-01-11T00:00:00Z"/>
        <d v="2024-10-19T00:00:00Z"/>
        <d v="2024-07-10T00:00:00Z"/>
        <d v="2025-02-12T00:00:00Z"/>
        <d v="2024-08-13T00:00:00Z"/>
        <d v="2025-02-04T00:00:00Z"/>
        <d v="2024-07-24T00:00:00Z"/>
        <d v="2025-04-13T00:00:00Z"/>
        <d v="2024-12-20T00:00:00Z"/>
        <d v="2024-10-27T00:00:00Z"/>
        <d v="2024-07-01T00:00:00Z"/>
        <d v="2024-10-02T00:00:00Z"/>
        <d v="2025-01-04T00:00:00Z"/>
        <d v="2024-06-03T00:00:00Z"/>
        <d v="2024-11-08T00:00:00Z"/>
        <d v="2024-09-09T00:00:00Z"/>
        <d v="2025-02-25T00:00:00Z"/>
        <d v="2024-11-21T00:00:00Z"/>
        <d v="2025-04-29T00:00:00Z"/>
        <d v="2024-11-22T00:00:00Z"/>
        <d v="2025-01-30T00:00:00Z"/>
        <d v="2024-09-18T00:00:00Z"/>
        <d v="2025-02-20T00:00:00Z"/>
        <d v="2024-12-24T00:00:00Z"/>
        <d v="2024-08-31T00:00:00Z"/>
        <d v="2024-06-06T00:00:00Z"/>
        <d v="2024-06-07T00:00:00Z"/>
        <d v="2024-09-14T00:00:00Z"/>
        <d v="2024-07-18T00:00:00Z"/>
        <d v="2024-10-05T00:00:00Z"/>
        <d v="2025-05-02T00:00:00Z"/>
        <d v="2025-01-10T00:00:00Z"/>
        <d v="2024-08-08T00:00:00Z"/>
        <d v="2025-02-24T00:00:00Z"/>
        <d v="2024-12-05T00:00:00Z"/>
        <d v="2024-12-29T00:00:00Z"/>
        <d v="2024-09-05T00:00:00Z"/>
        <d v="2024-09-08T00:00:00Z"/>
        <d v="2025-03-07T00:00:00Z"/>
        <d v="2024-07-28T00:00:00Z"/>
        <d v="2025-01-14T00:00:00Z"/>
        <d v="2024-11-14T00:00:00Z"/>
        <d v="2025-02-19T00:00:00Z"/>
        <d v="2024-09-17T00:00:00Z"/>
        <d v="2024-06-10T00:00:00Z"/>
        <d v="2024-11-26T00:00:00Z"/>
        <d v="2024-06-24T00:00:00Z"/>
        <d v="2025-04-24T00:00:00Z"/>
        <d v="2024-09-10T00:00:00Z"/>
        <d v="2025-03-25T00:00:00Z"/>
        <d v="2024-09-11T00:00:00Z"/>
        <d v="2025-03-02T00:00:00Z"/>
        <d v="2025-03-06T00:00:00Z"/>
        <d v="2025-01-15T00:00:00Z"/>
        <d v="2024-08-03T00:00:00Z"/>
        <d v="2025-03-19T00:00:00Z"/>
        <d v="2024-06-16T00:00:00Z"/>
        <d v="2024-07-16T00:00:00Z"/>
        <d v="2024-10-04T00:00:00Z"/>
        <d v="2025-05-11T00:00:00Z"/>
        <d v="2025-04-10T00:00:00Z"/>
        <d v="2025-02-11T00:00:00Z"/>
        <d v="2025-05-09T00:00:00Z"/>
        <d v="2024-10-25T00:00:00Z"/>
        <d v="2025-03-21T00:00:00Z"/>
        <d v="2025-03-05T00:00:00Z"/>
        <d v="2024-06-05T00:00:00Z"/>
        <d v="2024-09-25T00:00:00Z"/>
        <d v="2025-03-18T00:00:00Z"/>
        <d v="2025-03-13T00:00:00Z"/>
        <d v="2024-10-15T00:00:00Z"/>
        <d v="2024-10-28T00:00:00Z"/>
        <d v="2025-02-17T00:00:00Z"/>
        <d v="2025-03-03T00:00:00Z"/>
        <d v="2024-09-02T00:00:00Z"/>
        <d v="2024-12-21T00:00:00Z"/>
        <d v="2024-07-23T00:00:00Z"/>
        <d v="2024-07-13T00:00:00Z"/>
        <d v="2024-12-31T00:00:00Z"/>
        <d v="2024-10-12T00:00:00Z"/>
        <d v="2024-10-29T00:00:00Z"/>
        <d v="2025-04-05T00:00:00Z"/>
        <d v="2024-09-29T00:00:00Z"/>
        <d v="2024-11-18T00:00:00Z"/>
        <d v="2024-11-23T00:00:00Z"/>
        <d v="2024-07-02T00:00:00Z"/>
        <d v="2025-04-17T00:00:00Z"/>
        <d v="2024-06-26T00:00:00Z"/>
        <d v="2024-08-22T00:00:00Z"/>
        <d v="2025-03-22T00:00:00Z"/>
        <d v="2024-06-21T00:00:00Z"/>
        <d v="2025-05-12T00:00:00Z"/>
        <m/>
      </sharedItems>
    </cacheField>
    <cacheField name="Total_Engagement &#10;" numFmtId="10">
      <sharedItems containsString="0" containsBlank="1" containsNumber="1" containsInteger="1">
        <n v="1371.0"/>
        <n v="1352.0"/>
        <n v="1165.0"/>
        <n v="869.0"/>
        <n v="5245.0"/>
        <n v="1514.0"/>
        <n v="2009.0"/>
        <n v="2766.0"/>
        <n v="3139.0"/>
        <n v="1785.0"/>
        <n v="5624.0"/>
        <n v="2812.0"/>
        <n v="5297.0"/>
        <n v="5180.0"/>
        <n v="4230.0"/>
        <n v="4299.0"/>
        <n v="5367.0"/>
        <n v="2917.0"/>
        <n v="4984.0"/>
        <n v="2634.0"/>
        <n v="1635.0"/>
        <n v="2854.0"/>
        <n v="4928.0"/>
        <n v="3215.0"/>
        <n v="4229.0"/>
        <n v="779.0"/>
        <n v="1627.0"/>
        <n v="3811.0"/>
        <n v="3009.0"/>
        <n v="4513.0"/>
        <n v="2158.0"/>
        <n v="3601.0"/>
        <n v="1522.0"/>
        <n v="5057.0"/>
        <n v="4519.0"/>
        <n v="4234.0"/>
        <n v="2830.0"/>
        <n v="4775.0"/>
        <n v="5226.0"/>
        <n v="5062.0"/>
        <n v="4043.0"/>
        <n v="5022.0"/>
        <n v="4996.0"/>
        <n v="3034.0"/>
        <n v="4160.0"/>
        <n v="4735.0"/>
        <n v="3767.0"/>
        <n v="2458.0"/>
        <n v="3542.0"/>
        <n v="2017.0"/>
        <n v="5472.0"/>
        <n v="3951.0"/>
        <n v="2943.0"/>
        <n v="3975.0"/>
        <n v="2469.0"/>
        <n v="1836.0"/>
        <n v="4189.0"/>
        <n v="4858.0"/>
        <n v="3804.0"/>
        <n v="3226.0"/>
        <n v="3214.0"/>
        <n v="2781.0"/>
        <n v="3800.0"/>
        <n v="4385.0"/>
        <n v="4370.0"/>
        <n v="5973.0"/>
        <n v="4853.0"/>
        <n v="5190.0"/>
        <n v="5033.0"/>
        <n v="2675.0"/>
        <n v="2098.0"/>
        <n v="4546.0"/>
        <n v="4900.0"/>
        <n v="5038.0"/>
        <n v="5407.0"/>
        <n v="5767.0"/>
        <n v="4413.0"/>
        <n v="4620.0"/>
        <n v="5040.0"/>
        <n v="4108.0"/>
        <n v="1066.0"/>
        <n v="892.0"/>
        <n v="908.0"/>
        <n v="1109.0"/>
        <n v="1582.0"/>
        <n v="1611.0"/>
        <n v="2204.0"/>
        <n v="3123.0"/>
        <n v="2104.0"/>
        <n v="3319.0"/>
        <n v="1343.0"/>
        <n v="866.0"/>
        <n v="2408.0"/>
        <n v="3498.0"/>
        <n v="2223.0"/>
        <n v="5152.0"/>
        <n v="5199.0"/>
        <n v="5053.0"/>
        <n v="2847.0"/>
        <n v="2721.0"/>
        <n v="4435.0"/>
        <n v="4466.0"/>
        <n v="4371.0"/>
        <n v="4926.0"/>
        <n v="3024.0"/>
        <n v="4801.0"/>
        <n v="1513.0"/>
        <n v="1179.0"/>
        <n v="3121.0"/>
        <n v="1940.0"/>
        <n v="3981.0"/>
        <n v="2905.0"/>
        <n v="2034.0"/>
        <n v="5621.0"/>
        <n v="1624.0"/>
        <n v="2890.0"/>
        <n v="5782.0"/>
        <n v="5709.0"/>
        <n v="578.0"/>
        <n v="2508.0"/>
        <n v="4758.0"/>
        <n v="2640.0"/>
        <n v="2481.0"/>
        <n v="4030.0"/>
        <n v="2560.0"/>
        <n v="2903.0"/>
        <n v="2590.0"/>
        <n v="525.0"/>
        <n v="3907.0"/>
        <n v="2073.0"/>
        <n v="3707.0"/>
        <n v="1612.0"/>
        <n v="4566.0"/>
        <n v="5645.0"/>
        <n v="4741.0"/>
        <n v="1886.0"/>
        <n v="3964.0"/>
        <n v="3534.0"/>
        <n v="5322.0"/>
        <n v="5401.0"/>
        <n v="1839.0"/>
        <n v="5939.0"/>
        <n v="1241.0"/>
        <n v="5004.0"/>
        <n v="3006.0"/>
        <n v="6030.0"/>
        <n v="5900.0"/>
        <n v="4424.0"/>
        <n v="3098.0"/>
        <n v="5606.0"/>
        <n v="5186.0"/>
        <n v="4922.0"/>
        <n v="3901.0"/>
        <n v="4816.0"/>
        <n v="4915.0"/>
        <n v="3212.0"/>
        <n v="4110.0"/>
        <n v="2119.0"/>
        <n v="1071.0"/>
        <n v="513.0"/>
        <n v="315.0"/>
        <n v="2140.0"/>
        <n v="883.0"/>
        <n v="1832.0"/>
        <n v="2637.0"/>
        <n v="4406.0"/>
        <n v="2697.0"/>
        <n v="1882.0"/>
        <n v="1872.0"/>
        <n v="2609.0"/>
        <n v="2370.0"/>
        <n v="1208.0"/>
        <n v="3072.0"/>
        <n v="2970.0"/>
        <n v="1497.0"/>
        <n v="2615.0"/>
        <n v="4277.0"/>
        <n v="3609.0"/>
        <n v="2583.0"/>
        <n v="735.0"/>
        <n v="3493.0"/>
        <n v="2290.0"/>
        <n v="1695.0"/>
        <n v="4895.0"/>
        <n v="6278.0"/>
        <n v="4893.0"/>
        <n v="5316.0"/>
        <n v="4377.0"/>
        <n v="5169.0"/>
        <n v="2871.0"/>
        <n v="5177.0"/>
        <n v="3489.0"/>
        <n v="2462.0"/>
        <n v="5913.0"/>
        <n v="1113.0"/>
        <n v="5024.0"/>
        <n v="2832.0"/>
        <n v="5521.0"/>
        <n v="1520.0"/>
        <n v="2987.0"/>
        <n v="4785.0"/>
        <n v="2048.0"/>
        <n v="5268.0"/>
        <n v="5304.0"/>
        <n v="3486.0"/>
        <n v="4878.0"/>
        <n v="2414.0"/>
        <n v="1775.0"/>
        <n v="1989.0"/>
        <n v="1308.0"/>
        <n v="1306.0"/>
        <n v="4612.0"/>
        <n v="1443.0"/>
        <n v="2340.0"/>
        <n v="5256.0"/>
        <n v="3661.0"/>
        <n v="1566.0"/>
        <n v="1274.0"/>
        <n v="3655.0"/>
        <n v="4181.0"/>
        <n v="2631.0"/>
        <n v="4936.0"/>
        <n v="2723.0"/>
        <n v="5487.0"/>
        <n v="4340.0"/>
        <n v="4666.0"/>
        <n v="5585.0"/>
        <n v="4284.0"/>
        <n v="3733.0"/>
        <n v="3536.0"/>
        <n v="3473.0"/>
        <n v="3726.0"/>
        <n v="5029.0"/>
        <n v="4737.0"/>
        <n v="522.0"/>
        <n v="1621.0"/>
        <n v="1486.0"/>
        <n v="1732.0"/>
        <n v="6029.0"/>
        <n v="5248.0"/>
        <n v="1865.0"/>
        <n v="2696.0"/>
        <n v="3979.0"/>
        <n v="3962.0"/>
        <n v="4348.0"/>
        <n v="3062.0"/>
        <n v="1587.0"/>
        <n v="6061.0"/>
        <n v="1480.0"/>
        <n v="4509.0"/>
        <n v="4892.0"/>
        <n v="2974.0"/>
        <n v="2229.0"/>
        <n v="3552.0"/>
        <n v="4282.0"/>
        <n v="4777.0"/>
        <n v="3671.0"/>
        <n v="2623.0"/>
        <n v="5154.0"/>
        <n v="4469.0"/>
        <n v="5547.0"/>
        <n v="1797.0"/>
        <n v="3913.0"/>
        <n v="3105.0"/>
        <n v="2282.0"/>
        <n v="4353.0"/>
        <n v="3780.0"/>
        <n v="3419.0"/>
        <n v="497.0"/>
        <n v="3828.0"/>
        <n v="3004.0"/>
        <n v="3476.0"/>
        <n v="5128.0"/>
        <n v="5340.0"/>
        <n v="1688.0"/>
        <n v="3021.0"/>
        <n v="5576.0"/>
        <n v="4805.0"/>
        <n v="2375.0"/>
        <n v="2731.0"/>
        <n v="5851.0"/>
        <n v="4052.0"/>
        <n v="4668.0"/>
        <n v="3818.0"/>
        <n v="6130.0"/>
        <n v="5473.0"/>
        <n v="3597.0"/>
        <n v="5735.0"/>
        <n v="5879.0"/>
        <n v="1760.0"/>
        <n v="2359.0"/>
        <n v="2195.0"/>
        <n v="2949.0"/>
        <m/>
      </sharedItems>
    </cacheField>
    <cacheField name="Period_Type&#10;" numFmtId="0">
      <sharedItems containsBlank="1">
        <s v="Before Campaign"/>
        <s v="During Campaign"/>
        <m/>
      </sharedItems>
    </cacheField>
    <cacheField name="Follower_Growth" numFmtId="0">
      <sharedItems containsString="0" containsBlank="1" containsNumber="1" containsInteger="1">
        <n v="0.0"/>
        <n v="375.0"/>
        <n v="674.0"/>
        <n v="-1097.0"/>
        <n v="17576.0"/>
        <n v="-15044.0"/>
        <n v="2609.0"/>
        <n v="4004.0"/>
        <n v="2554.0"/>
        <n v="-6101.0"/>
        <n v="19832.0"/>
        <n v="-14061.0"/>
        <n v="13735.0"/>
        <n v="141.0"/>
        <n v="-4910.0"/>
        <n v="243.0"/>
        <n v="5736.0"/>
        <n v="-12410.0"/>
        <n v="13721.0"/>
        <n v="-14256.0"/>
        <n v="-6579.0"/>
        <n v="8371.0"/>
        <n v="15701.0"/>
        <n v="-11471.0"/>
        <n v="7898.0"/>
        <n v="-25339.0"/>
        <n v="6770.0"/>
        <n v="16867.0"/>
        <n v="-5545.0"/>
        <n v="11462.0"/>
        <n v="-18490.0"/>
        <n v="12148.0"/>
        <n v="-16124.0"/>
        <n v="29072.0"/>
        <n v="-4243.0"/>
        <n v="-1957.0"/>
        <n v="-9564.0"/>
        <n v="18052.0"/>
        <n v="7586.0"/>
        <n v="-1573.0"/>
        <n v="-9763.0"/>
        <n v="13494.0"/>
        <n v="-39033.0"/>
        <n v="42294.0"/>
        <n v="-22189.0"/>
        <n v="13151.0"/>
        <n v="7521.0"/>
        <n v="-9194.0"/>
        <n v="-16056.0"/>
        <n v="13091.0"/>
        <n v="-18054.0"/>
        <n v="43141.0"/>
        <n v="-19230.0"/>
        <n v="-23909.0"/>
        <n v="12323.0"/>
        <n v="13629.0"/>
        <n v="-18831.0"/>
        <n v="-8017.0"/>
        <n v="31356.0"/>
        <n v="8475.0"/>
        <n v="-13734.0"/>
        <n v="-7073.0"/>
        <n v="25745.0"/>
        <n v="-25073.0"/>
        <n v="-5978.0"/>
        <n v="14168.0"/>
        <n v="8005.0"/>
        <n v="17.0"/>
        <n v="22916.0"/>
        <n v="-15928.0"/>
        <n v="4983.0"/>
        <n v="-2002.0"/>
        <n v="-33129.0"/>
        <n v="-7696.0"/>
        <n v="36278.0"/>
        <n v="10388.0"/>
        <n v="2361.0"/>
        <n v="6893.0"/>
        <n v="6749.0"/>
        <n v="-21691.0"/>
        <n v="7418.0"/>
        <n v="8656.0"/>
        <n v="-10010.0"/>
        <n v="402.0"/>
        <n v="429.0"/>
        <n v="156.0"/>
        <n v="2404.0"/>
        <n v="786.0"/>
        <n v="2572.0"/>
        <n v="2167.0"/>
        <n v="-2288.0"/>
        <n v="3933.0"/>
        <n v="-6247.0"/>
        <n v="-1621.0"/>
        <n v="5695.0"/>
        <n v="3734.0"/>
        <n v="-3858.0"/>
        <n v="13209.0"/>
        <n v="355.0"/>
        <n v="54.0"/>
        <n v="-9684.0"/>
        <n v="58.0"/>
        <n v="8521.0"/>
        <n v="552.0"/>
        <n v="117.0"/>
        <n v="3166.0"/>
        <n v="-9475.0"/>
        <n v="9702.0"/>
        <n v="-17470.0"/>
        <n v="-1118.0"/>
        <n v="11582.0"/>
        <n v="-6261.0"/>
        <n v="13949.0"/>
        <n v="-6893.0"/>
        <n v="-5048.0"/>
        <n v="25566.0"/>
        <n v="-27654.0"/>
        <n v="9467.0"/>
        <n v="21261.0"/>
        <n v="997.0"/>
        <n v="-39578.0"/>
        <n v="15312.0"/>
        <n v="19620.0"/>
        <n v="-17581.0"/>
        <n v="-1011.0"/>
        <n v="13323.0"/>
        <n v="-11441.0"/>
        <n v="2806.0"/>
        <n v="-2750.0"/>
        <n v="-17535.0"/>
        <n v="30715.0"/>
        <n v="-16710.0"/>
        <n v="17424.0"/>
        <n v="-19954.0"/>
        <n v="29318.0"/>
        <n v="11195.0"/>
        <n v="-7049.0"/>
        <n v="-30067.0"/>
        <n v="10797.0"/>
        <n v="12862.0"/>
        <n v="-3517.0"/>
        <n v="20993.0"/>
        <n v="936.0"/>
        <n v="-40824.0"/>
        <n v="48632.0"/>
        <n v="-55504.0"/>
        <n v="45763.0"/>
        <n v="-24060.0"/>
        <n v="36897.0"/>
        <n v="-541.0"/>
        <n v="-17780.0"/>
        <n v="-14450.0"/>
        <n v="32930.0"/>
        <n v="-4775.0"/>
        <n v="1196.0"/>
        <n v="-11927.0"/>
        <n v="14432.0"/>
        <n v="5559.0"/>
        <n v="-22073.0"/>
        <n v="16639.0"/>
        <n v="-34573.0"/>
        <n v="-1037.0"/>
        <n v="468.0"/>
        <n v="4746.0"/>
        <n v="-2936.0"/>
        <n v="3860.0"/>
        <n v="4822.0"/>
        <n v="-722.0"/>
        <n v="8314.0"/>
        <n v="-5858.0"/>
        <n v="-3826.0"/>
        <n v="7.0"/>
        <n v="3794.0"/>
        <n v="-112.0"/>
        <n v="-6343.0"/>
        <n v="10644.0"/>
        <n v="-382.0"/>
        <n v="-7773.0"/>
        <n v="6090.0"/>
        <n v="10163.0"/>
        <n v="-4171.0"/>
        <n v="-5389.0"/>
        <n v="-11699.0"/>
        <n v="18467.0"/>
        <n v="-6792.0"/>
        <n v="-3783.0"/>
        <n v="21850.0"/>
        <n v="9793.0"/>
        <n v="-9151.0"/>
        <n v="3704.0"/>
        <n v="-6388.0"/>
        <n v="6221.0"/>
        <n v="-16505.0"/>
        <n v="18449.0"/>
        <n v="-12352.0"/>
        <n v="-7027.0"/>
        <n v="30375.0"/>
        <n v="-41147.0"/>
        <n v="34164.0"/>
        <n v="-18756.0"/>
        <n v="24431.0"/>
        <n v="-35419.0"/>
        <n v="13523.0"/>
        <n v="18270.0"/>
        <n v="-26297.0"/>
        <n v="32421.0"/>
        <n v="932.0"/>
        <n v="-18212.0"/>
        <n v="15015.0"/>
        <n v="-24574.0"/>
        <n v="-6262.0"/>
        <n v="3021.0"/>
        <n v="-7395.0"/>
        <n v="-151.0"/>
        <n v="38484.0"/>
        <n v="-36617.0"/>
        <n v="11188.0"/>
        <n v="35504.0"/>
        <n v="-19022.0"/>
        <n v="-24807.0"/>
        <n v="-3902.0"/>
        <n v="29782.0"/>
        <n v="8052.0"/>
        <n v="-19617.0"/>
        <n v="31209.0"/>
        <n v="-28111.0"/>
        <n v="38655.0"/>
        <n v="-19491.0"/>
        <n v="6224.0"/>
        <n v="6179.0"/>
        <n v="17500.0"/>
        <n v="-18725.0"/>
        <n v="-24623.0"/>
        <n v="17851.0"/>
        <n v="-660.0"/>
        <n v="-1036.0"/>
        <n v="5643.0"/>
        <n v="24044.0"/>
        <n v="1758.0"/>
        <n v="391.0"/>
        <n v="1562.0"/>
        <n v="17877.0"/>
        <n v="-2112.0"/>
        <n v="-13082.0"/>
        <n v="4107.0"/>
        <n v="6379.0"/>
        <n v="1568.0"/>
        <n v="5638.0"/>
        <n v="-6910.0"/>
        <n v="-8562.0"/>
        <n v="29416.0"/>
        <n v="-29608.0"/>
        <n v="22598.0"/>
        <n v="3490.0"/>
        <n v="-14217.0"/>
        <n v="-4958.0"/>
        <n v="11220.0"/>
        <n v="5984.0"/>
        <n v="5018.0"/>
        <n v="-8192.0"/>
        <n v="-7743.0"/>
        <n v="24927.0"/>
        <n v="-4703.0"/>
        <n v="12715.0"/>
        <n v="-37392.0"/>
        <n v="21155.0"/>
        <n v="-7172.0"/>
        <n v="-7814.0"/>
        <n v="23246.0"/>
        <n v="-6270.0"/>
        <n v="-3738.0"/>
        <n v="-32332.0"/>
        <n v="38466.0"/>
        <n v="-9020.0"/>
        <n v="6131.0"/>
        <n v="19776.0"/>
        <n v="3058.0"/>
        <n v="-42368.0"/>
        <n v="18999.0"/>
        <n v="34727.0"/>
        <n v="-8374.0"/>
        <n v="-34390.0"/>
        <n v="6383.0"/>
        <n v="47116.0"/>
        <n v="-26253.0"/>
        <n v="11211.0"/>
        <n v="-12649.0"/>
        <n v="34758.0"/>
        <n v="-7022.0"/>
        <n v="-29663.0"/>
        <n v="35171.0"/>
        <n v="6476.0"/>
        <n v="-68083.0"/>
        <n v="10436.0"/>
        <n v="-1354.0"/>
        <n v="13536.0"/>
        <m/>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1000" sheet="Posts"/>
  </cacheSource>
  <cacheFields>
    <cacheField name="Post ID" numFmtId="0">
      <sharedItems containsBlank="1">
        <s v="P070"/>
        <s v="P224"/>
        <s v="P248"/>
        <s v="P259"/>
        <s v="P277"/>
        <s v="P246"/>
        <s v="P120"/>
        <s v="P159"/>
        <s v="P137"/>
        <s v="P077"/>
        <s v="P152"/>
        <s v="P218"/>
        <s v="P242"/>
        <s v="P294"/>
        <s v="P006"/>
        <s v="P037"/>
        <s v="P241"/>
        <s v="P275"/>
        <s v="P221"/>
        <s v="P252"/>
        <s v="P052"/>
        <s v="P140"/>
        <s v="P014"/>
        <s v="P299"/>
        <s v="P174"/>
        <s v="P088"/>
        <s v="P236"/>
        <s v="P056"/>
        <s v="P012"/>
        <s v="P235"/>
        <s v="P033"/>
        <s v="P293"/>
        <s v="P292"/>
        <s v="P245"/>
        <s v="P255"/>
        <s v="P247"/>
        <s v="P222"/>
        <s v="P156"/>
        <s v="P182"/>
        <s v="P266"/>
        <s v="P103"/>
        <s v="P017"/>
        <s v="P055"/>
        <s v="P009"/>
        <s v="P084"/>
        <s v="P162"/>
        <s v="P186"/>
        <s v="P213"/>
        <s v="P202"/>
        <s v="P064"/>
        <s v="P022"/>
        <s v="P118"/>
        <s v="P257"/>
        <s v="P091"/>
        <s v="P051"/>
        <s v="P230"/>
        <s v="P023"/>
        <s v="P234"/>
        <s v="P016"/>
        <s v="P179"/>
        <s v="P045"/>
        <s v="P168"/>
        <s v="P250"/>
        <s v="P289"/>
        <s v="P233"/>
        <s v="P172"/>
        <s v="P189"/>
        <s v="P039"/>
        <s v="P215"/>
        <s v="P024"/>
        <s v="P010"/>
        <s v="P291"/>
        <s v="P133"/>
        <s v="P034"/>
        <s v="P127"/>
        <s v="P135"/>
        <s v="P073"/>
        <s v="P067"/>
        <s v="P217"/>
        <s v="P200"/>
        <s v="P015"/>
        <s v="P298"/>
        <s v="P176"/>
        <s v="P220"/>
        <s v="P058"/>
        <s v="P178"/>
        <s v="P175"/>
        <s v="P214"/>
        <s v="P121"/>
        <s v="P154"/>
        <s v="P119"/>
        <s v="P287"/>
        <s v="P204"/>
        <s v="P183"/>
        <s v="P031"/>
        <s v="P093"/>
        <s v="P263"/>
        <s v="P226"/>
        <s v="P123"/>
        <s v="P163"/>
        <s v="P269"/>
        <s v="P043"/>
        <s v="P029"/>
        <s v="P271"/>
        <s v="P136"/>
        <s v="P258"/>
        <s v="P148"/>
        <s v="P068"/>
        <s v="P085"/>
        <s v="P041"/>
        <s v="P028"/>
        <s v="P094"/>
        <s v="P060"/>
        <s v="P147"/>
        <s v="P004"/>
        <s v="P192"/>
        <s v="P272"/>
        <s v="P195"/>
        <s v="P132"/>
        <s v="P229"/>
        <s v="P131"/>
        <s v="P105"/>
        <s v="P196"/>
        <s v="P110"/>
        <s v="P075"/>
        <s v="P065"/>
        <s v="P035"/>
        <s v="P251"/>
        <s v="P011"/>
        <s v="P158"/>
        <s v="P227"/>
        <s v="P151"/>
        <s v="P282"/>
        <s v="P018"/>
        <s v="P019"/>
        <s v="P126"/>
        <s v="P167"/>
        <s v="P185"/>
        <s v="P081"/>
        <s v="P059"/>
        <s v="P177"/>
        <s v="P079"/>
        <s v="P260"/>
        <s v="P097"/>
        <s v="P231"/>
        <s v="P106"/>
        <s v="P082"/>
        <s v="P268"/>
        <s v="P290"/>
        <s v="P261"/>
        <s v="P228"/>
        <s v="P122"/>
        <s v="P080"/>
        <s v="P021"/>
        <s v="P036"/>
        <s v="P090"/>
        <s v="P095"/>
        <s v="P237"/>
        <s v="P020"/>
        <s v="P030"/>
        <s v="P203"/>
        <s v="P145"/>
        <s v="P232"/>
        <s v="P062"/>
        <s v="P264"/>
        <s v="P102"/>
        <s v="P066"/>
        <s v="P219"/>
        <s v="P265"/>
        <s v="P297"/>
        <s v="P141"/>
        <s v="P087"/>
        <s v="P276"/>
        <s v="P198"/>
        <s v="P032"/>
        <s v="P211"/>
        <s v="P153"/>
        <s v="P112"/>
        <s v="P129"/>
        <s v="P046"/>
        <s v="P089"/>
        <s v="P109"/>
        <s v="P047"/>
        <s v="P295"/>
        <s v="P138"/>
        <s v="P165"/>
        <s v="P173"/>
        <s v="P166"/>
        <s v="P207"/>
        <s v="P061"/>
        <s v="P125"/>
        <s v="P040"/>
        <s v="P184"/>
        <s v="P092"/>
        <s v="P254"/>
        <s v="P114"/>
        <s v="P128"/>
        <s v="P117"/>
        <s v="P161"/>
        <s v="P284"/>
        <s v="P113"/>
        <s v="P098"/>
        <s v="P278"/>
        <s v="P206"/>
        <s v="P049"/>
        <s v="P205"/>
        <s v="P096"/>
        <s v="P108"/>
        <s v="P193"/>
        <s v="P044"/>
        <s v="P243"/>
        <s v="P069"/>
        <s v="P160"/>
        <s v="P001"/>
        <s v="P201"/>
        <s v="P249"/>
        <s v="P253"/>
        <s v="P240"/>
        <s v="P187"/>
        <s v="P300"/>
        <s v="P209"/>
        <s v="P078"/>
        <s v="P076"/>
        <s v="P057"/>
        <s v="P274"/>
        <s v="P149"/>
        <s v="P002"/>
        <s v="P048"/>
        <s v="P238"/>
        <s v="P134"/>
        <s v="P007"/>
        <s v="P170"/>
        <s v="P197"/>
        <s v="P267"/>
        <s v="P115"/>
        <s v="P223"/>
        <s v="P025"/>
        <s v="P296"/>
        <s v="P283"/>
        <s v="P225"/>
        <s v="P063"/>
        <s v="P143"/>
        <s v="P210"/>
        <s v="P053"/>
        <s v="P124"/>
        <s v="P244"/>
        <s v="P239"/>
        <s v="P181"/>
        <s v="P042"/>
        <s v="P146"/>
        <s v="P286"/>
        <s v="P116"/>
        <s v="P054"/>
        <s v="P083"/>
        <s v="P164"/>
        <s v="P262"/>
        <s v="P104"/>
        <s v="P285"/>
        <s v="P050"/>
        <s v="P074"/>
        <s v="P038"/>
        <s v="P169"/>
        <s v="P212"/>
        <s v="P071"/>
        <s v="P155"/>
        <s v="P157"/>
        <s v="P008"/>
        <s v="P191"/>
        <s v="P171"/>
        <s v="P273"/>
        <s v="P139"/>
        <s v="P100"/>
        <s v="P180"/>
        <s v="P026"/>
        <s v="P130"/>
        <s v="P072"/>
        <s v="P208"/>
        <s v="P199"/>
        <s v="P188"/>
        <s v="P194"/>
        <s v="P280"/>
        <s v="P013"/>
        <s v="P111"/>
        <s v="P101"/>
        <s v="P099"/>
        <s v="P027"/>
        <s v="P142"/>
        <s v="P288"/>
        <s v="P270"/>
        <s v="P005"/>
        <s v="P086"/>
        <s v="P144"/>
        <s v="P150"/>
        <s v="P281"/>
        <s v="P107"/>
        <s v="P279"/>
        <s v="P216"/>
        <s v="P256"/>
        <s v="P190"/>
        <s v="P003"/>
        <m/>
      </sharedItems>
    </cacheField>
    <cacheField name="Platform_Clean" numFmtId="0">
      <sharedItems containsBlank="1">
        <s v="FACEBOOK"/>
        <s v="INSTAGRAM"/>
        <s v="TWITTER"/>
        <s v="YOUTUBE"/>
        <m/>
      </sharedItems>
    </cacheField>
    <cacheField name="Data" numFmtId="164">
      <sharedItems containsDate="1" containsString="0" containsBlank="1">
        <d v="2025-04-02T00:00:00Z"/>
        <d v="2025-05-13T00:00:00Z"/>
        <d v="2025-02-02T00:00:00Z"/>
        <d v="2025-02-10T00:00:00Z"/>
        <d v="2025-04-06T00:00:00Z"/>
        <d v="2024-10-11T00:00:00Z"/>
        <d v="2024-10-21T00:00:00Z"/>
        <d v="2024-11-25T00:00:00Z"/>
        <d v="2024-07-31T00:00:00Z"/>
        <d v="2025-03-04T00:00:00Z"/>
        <d v="2025-04-22T00:00:00Z"/>
        <d v="2024-06-11T00:00:00Z"/>
        <d v="2024-07-07T00:00:00Z"/>
        <d v="2024-06-19T00:00:00Z"/>
        <d v="2024-10-31T00:00:00Z"/>
        <d v="2025-01-06T00:00:00Z"/>
        <d v="2025-01-18T00:00:00Z"/>
        <d v="2024-08-05T00:00:00Z"/>
        <d v="2025-03-23T00:00:00Z"/>
        <d v="2025-04-28T00:00:00Z"/>
        <d v="2025-01-03T00:00:00Z"/>
        <d v="2024-07-15T00:00:00Z"/>
        <d v="2025-02-16T00:00:00Z"/>
        <d v="2024-08-26T00:00:00Z"/>
        <d v="2024-06-22T00:00:00Z"/>
        <d v="2024-08-19T00:00:00Z"/>
        <d v="2024-12-18T00:00:00Z"/>
        <d v="2024-07-21T00:00:00Z"/>
        <d v="2024-12-22T00:00:00Z"/>
        <d v="2024-08-21T00:00:00Z"/>
        <d v="2025-05-14T00:00:00Z"/>
        <d v="2024-11-17T00:00:00Z"/>
        <d v="2025-01-12T00:00:00Z"/>
        <d v="2025-04-03T00:00:00Z"/>
        <d v="2024-08-27T00:00:00Z"/>
        <d v="2024-10-08T00:00:00Z"/>
        <d v="2024-10-22T00:00:00Z"/>
        <d v="2025-05-05T00:00:00Z"/>
        <d v="2024-06-17T00:00:00Z"/>
        <d v="2024-08-30T00:00:00Z"/>
        <d v="2024-12-09T00:00:00Z"/>
        <d v="2025-04-01T00:00:00Z"/>
        <d v="2024-08-24T00:00:00Z"/>
        <d v="2025-05-01T00:00:00Z"/>
        <d v="2024-06-02T00:00:00Z"/>
        <d v="2024-08-17T00:00:00Z"/>
        <d v="2025-02-27T00:00:00Z"/>
        <d v="2024-11-04T00:00:00Z"/>
        <d v="2025-03-24T00:00:00Z"/>
        <d v="2024-06-13T00:00:00Z"/>
        <d v="2024-11-06T00:00:00Z"/>
        <d v="2024-06-01T00:00:00Z"/>
        <d v="2024-11-01T00:00:00Z"/>
        <d v="2024-11-12T00:00:00Z"/>
        <d v="2024-11-28T00:00:00Z"/>
        <d v="2025-03-08T00:00:00Z"/>
        <d v="2024-08-14T00:00:00Z"/>
        <d v="2025-05-06T00:00:00Z"/>
        <d v="2025-01-23T00:00:00Z"/>
        <d v="2025-03-11T00:00:00Z"/>
        <d v="2025-02-06T00:00:00Z"/>
        <d v="2025-03-26T00:00:00Z"/>
        <d v="2025-01-27T00:00:00Z"/>
        <d v="2024-10-18T00:00:00Z"/>
        <d v="2025-03-29T00:00:00Z"/>
        <d v="2024-12-03T00:00:00Z"/>
        <d v="2025-04-07T00:00:00Z"/>
        <d v="2024-10-24T00:00:00Z"/>
        <d v="2024-06-20T00:00:00Z"/>
        <d v="2025-04-15T00:00:00Z"/>
        <d v="2024-11-07T00:00:00Z"/>
        <d v="2025-01-17T00:00:00Z"/>
        <d v="2024-12-23T00:00:00Z"/>
        <d v="2024-07-29T00:00:00Z"/>
        <d v="2024-10-09T00:00:00Z"/>
        <d v="2025-02-07T00:00:00Z"/>
        <d v="2024-08-15T00:00:00Z"/>
        <d v="2025-01-01T00:00:00Z"/>
        <d v="2024-12-17T00:00:00Z"/>
        <d v="2024-12-16T00:00:00Z"/>
        <d v="2024-12-11T00:00:00Z"/>
        <d v="2024-08-20T00:00:00Z"/>
        <d v="2024-08-07T00:00:00Z"/>
        <d v="2024-06-14T00:00:00Z"/>
        <d v="2025-04-08T00:00:00Z"/>
        <d v="2024-11-05T00:00:00Z"/>
        <d v="2024-12-14T00:00:00Z"/>
        <d v="2025-01-31T00:00:00Z"/>
        <d v="2024-10-17T00:00:00Z"/>
        <d v="2024-07-11T00:00:00Z"/>
        <d v="2024-12-08T00:00:00Z"/>
        <d v="2025-04-19T00:00:00Z"/>
        <d v="2025-01-28T00:00:00Z"/>
        <d v="2024-08-12T00:00:00Z"/>
        <d v="2024-11-29T00:00:00Z"/>
        <d v="2025-03-27T00:00:00Z"/>
        <d v="2024-07-03T00:00:00Z"/>
        <d v="2024-12-19T00:00:00Z"/>
        <d v="2024-08-01T00:00:00Z"/>
        <d v="2025-03-28T00:00:00Z"/>
        <d v="2024-11-30T00:00:00Z"/>
        <d v="2024-08-11T00:00:00Z"/>
        <d v="2024-06-12T00:00:00Z"/>
        <d v="2024-07-26T00:00:00Z"/>
        <d v="2024-10-03T00:00:00Z"/>
        <d v="2024-06-23T00:00:00Z"/>
        <d v="2025-01-11T00:00:00Z"/>
        <d v="2024-10-19T00:00:00Z"/>
        <d v="2024-07-10T00:00:00Z"/>
        <d v="2025-02-12T00:00:00Z"/>
        <d v="2024-08-13T00:00:00Z"/>
        <d v="2025-02-04T00:00:00Z"/>
        <d v="2024-07-24T00:00:00Z"/>
        <d v="2025-04-13T00:00:00Z"/>
        <d v="2024-12-20T00:00:00Z"/>
        <d v="2024-10-27T00:00:00Z"/>
        <d v="2024-07-01T00:00:00Z"/>
        <d v="2024-10-02T00:00:00Z"/>
        <d v="2025-01-04T00:00:00Z"/>
        <d v="2024-06-03T00:00:00Z"/>
        <d v="2024-11-08T00:00:00Z"/>
        <d v="2024-09-09T00:00:00Z"/>
        <d v="2025-02-25T00:00:00Z"/>
        <d v="2024-11-21T00:00:00Z"/>
        <d v="2025-04-29T00:00:00Z"/>
        <d v="2024-11-22T00:00:00Z"/>
        <d v="2025-01-30T00:00:00Z"/>
        <d v="2024-09-18T00:00:00Z"/>
        <d v="2025-02-20T00:00:00Z"/>
        <d v="2024-12-24T00:00:00Z"/>
        <d v="2024-08-31T00:00:00Z"/>
        <d v="2024-06-06T00:00:00Z"/>
        <d v="2024-06-07T00:00:00Z"/>
        <d v="2024-09-14T00:00:00Z"/>
        <d v="2024-07-18T00:00:00Z"/>
        <d v="2024-10-05T00:00:00Z"/>
        <d v="2025-05-02T00:00:00Z"/>
        <d v="2025-01-10T00:00:00Z"/>
        <d v="2024-08-08T00:00:00Z"/>
        <d v="2025-02-24T00:00:00Z"/>
        <d v="2024-12-05T00:00:00Z"/>
        <d v="2024-12-29T00:00:00Z"/>
        <d v="2024-09-05T00:00:00Z"/>
        <d v="2024-09-08T00:00:00Z"/>
        <d v="2025-03-07T00:00:00Z"/>
        <d v="2024-07-28T00:00:00Z"/>
        <d v="2025-01-14T00:00:00Z"/>
        <d v="2024-11-14T00:00:00Z"/>
        <d v="2025-02-19T00:00:00Z"/>
        <d v="2024-09-17T00:00:00Z"/>
        <d v="2024-06-10T00:00:00Z"/>
        <d v="2024-11-26T00:00:00Z"/>
        <d v="2024-06-24T00:00:00Z"/>
        <d v="2025-04-24T00:00:00Z"/>
        <d v="2024-09-10T00:00:00Z"/>
        <d v="2025-03-25T00:00:00Z"/>
        <d v="2024-09-11T00:00:00Z"/>
        <d v="2025-03-02T00:00:00Z"/>
        <d v="2025-03-06T00:00:00Z"/>
        <d v="2025-01-15T00:00:00Z"/>
        <d v="2024-08-03T00:00:00Z"/>
        <d v="2025-03-19T00:00:00Z"/>
        <d v="2024-06-16T00:00:00Z"/>
        <d v="2024-07-16T00:00:00Z"/>
        <d v="2024-10-04T00:00:00Z"/>
        <d v="2025-05-11T00:00:00Z"/>
        <d v="2025-04-10T00:00:00Z"/>
        <d v="2025-02-11T00:00:00Z"/>
        <d v="2025-05-09T00:00:00Z"/>
        <d v="2024-10-25T00:00:00Z"/>
        <d v="2025-03-21T00:00:00Z"/>
        <d v="2025-03-05T00:00:00Z"/>
        <d v="2024-06-05T00:00:00Z"/>
        <d v="2024-09-25T00:00:00Z"/>
        <d v="2025-03-18T00:00:00Z"/>
        <d v="2025-03-13T00:00:00Z"/>
        <d v="2024-10-15T00:00:00Z"/>
        <d v="2024-10-28T00:00:00Z"/>
        <d v="2025-02-17T00:00:00Z"/>
        <d v="2025-03-03T00:00:00Z"/>
        <d v="2024-09-02T00:00:00Z"/>
        <d v="2024-12-21T00:00:00Z"/>
        <d v="2024-07-23T00:00:00Z"/>
        <d v="2024-07-13T00:00:00Z"/>
        <d v="2024-12-31T00:00:00Z"/>
        <d v="2024-10-12T00:00:00Z"/>
        <d v="2024-10-29T00:00:00Z"/>
        <d v="2025-04-05T00:00:00Z"/>
        <d v="2024-09-29T00:00:00Z"/>
        <d v="2024-11-18T00:00:00Z"/>
        <d v="2024-11-23T00:00:00Z"/>
        <d v="2024-07-02T00:00:00Z"/>
        <d v="2025-04-17T00:00:00Z"/>
        <d v="2024-06-26T00:00:00Z"/>
        <d v="2024-08-22T00:00:00Z"/>
        <d v="2025-03-22T00:00:00Z"/>
        <d v="2024-06-21T00:00:00Z"/>
        <d v="2025-05-12T00:00:00Z"/>
        <m/>
      </sharedItems>
    </cacheField>
    <cacheField name="Campaign_Name" numFmtId="164">
      <sharedItems containsBlank="1">
        <s v="Outside Campaign"/>
        <s v="NewYearRefresh"/>
        <s v="FestiveRadiance"/>
        <s v="SummerSplash"/>
        <m/>
      </sharedItems>
    </cacheField>
    <cacheField name="Content Type" numFmtId="0">
      <sharedItems containsBlank="1">
        <s v="Video"/>
        <s v="Image"/>
        <s v="Story"/>
        <s v="Text"/>
        <s v="Carousel"/>
        <s v="Reel"/>
        <m/>
      </sharedItems>
    </cacheField>
    <cacheField name="Post Text" numFmtId="0">
      <sharedItems containsBlank="1">
        <s v="Check out our latest video on facebook!"/>
        <s v="Check out our latest image on facebook!"/>
        <s v="Check out our latest story on facebook!"/>
        <s v="Check out our latest text on facebook!"/>
        <s v="Check out our latest carousel on facebook!"/>
        <s v="Check out our latest reel on facebook!"/>
        <s v="Check out our latest story on instagram!"/>
        <s v="Check out our latest reel on instagram!"/>
        <s v="Check out our latest video on instagram!"/>
        <s v="Check out our latest image on instagram!"/>
        <s v="Check out our latest carousel on instagram!"/>
        <s v="Check out our latest text on instagram!"/>
        <s v="Check out our latest story on twitter!"/>
        <s v="Check out our latest carousel on twitter!"/>
        <s v="Check out our latest image on twitter!"/>
        <s v="Check out our latest reel on twitter!"/>
        <s v="Check out our latest text on twitter!"/>
        <s v="Check out our latest video on twitter!"/>
        <s v="Check out our latest carousel on youtube!"/>
        <s v="Check out our latest image on youtube!"/>
        <s v="Check out our latest video on youtube!"/>
        <s v="Check out our latest text on youtube!"/>
        <s v="Check out our latest reel on youtube!"/>
        <s v="Check out our latest story on youtube!"/>
        <m/>
      </sharedItems>
    </cacheField>
    <cacheField name="Likes" numFmtId="4">
      <sharedItems containsString="0" containsBlank="1" containsNumber="1" containsInteger="1">
        <n v="199.0"/>
        <n v="602.0"/>
        <n v="886.0"/>
        <n v="562.0"/>
        <n v="4236.0"/>
        <n v="400.0"/>
        <n v="780.0"/>
        <n v="2120.0"/>
        <n v="3008.0"/>
        <n v="1249.0"/>
        <n v="4804.0"/>
        <n v="1869.0"/>
        <n v="4767.0"/>
        <n v="4731.0"/>
        <n v="2945.0"/>
        <n v="3024.0"/>
        <n v="4321.0"/>
        <n v="1741.0"/>
        <n v="4453.0"/>
        <n v="2089.0"/>
        <n v="947.0"/>
        <n v="2291.0"/>
        <n v="4242.0"/>
        <n v="2581.0"/>
        <n v="3828.0"/>
        <n v="302.0"/>
        <n v="1257.0"/>
        <n v="2946.0"/>
        <n v="1946.0"/>
        <n v="3196.0"/>
        <n v="1407.0"/>
        <n v="2634.0"/>
        <n v="880.0"/>
        <n v="4134.0"/>
        <n v="3767.0"/>
        <n v="3960.0"/>
        <n v="1814.0"/>
        <n v="3352.0"/>
        <n v="4689.0"/>
        <n v="4182.0"/>
        <n v="3689.0"/>
        <n v="4441.0"/>
        <n v="1226.0"/>
        <n v="3784.0"/>
        <n v="1841.0"/>
        <n v="3430.0"/>
        <n v="4292.0"/>
        <n v="2696.0"/>
        <n v="1871.0"/>
        <n v="2878.0"/>
        <n v="1570.0"/>
        <n v="4551.0"/>
        <n v="3090.0"/>
        <n v="1263.0"/>
        <n v="2200.0"/>
        <n v="3663.0"/>
        <n v="1606.0"/>
        <n v="1272.0"/>
        <n v="3452.0"/>
        <n v="3796.0"/>
        <n v="3371.0"/>
        <n v="2418.0"/>
        <n v="3813.0"/>
        <n v="2751.0"/>
        <n v="2382.0"/>
        <n v="3073.0"/>
        <n v="3360.0"/>
        <n v="3564.0"/>
        <n v="4872.0"/>
        <n v="3961.0"/>
        <n v="4241.0"/>
        <n v="4663.0"/>
        <n v="2072.0"/>
        <n v="1652.0"/>
        <n v="4213.0"/>
        <n v="4126.0"/>
        <n v="4712.0"/>
        <n v="4606.0"/>
        <n v="3718.0"/>
        <n v="3888.0"/>
        <n v="4303.0"/>
        <n v="3798.0"/>
        <n v="84.0"/>
        <n v="103.0"/>
        <n v="129.0"/>
        <n v="142.0"/>
        <n v="521.0"/>
        <n v="498.0"/>
        <n v="985.0"/>
        <n v="1970.0"/>
        <n v="1164.0"/>
        <n v="2234.0"/>
        <n v="360.0"/>
        <n v="438.0"/>
        <n v="1431.0"/>
        <n v="2603.0"/>
        <n v="4363.0"/>
        <n v="4501.0"/>
        <n v="4561.0"/>
        <n v="2174.0"/>
        <n v="2566.0"/>
        <n v="3575.0"/>
        <n v="3134.0"/>
        <n v="3601.0"/>
        <n v="4133.0"/>
        <n v="2610.0"/>
        <n v="4177.0"/>
        <n v="456.0"/>
        <n v="432.0"/>
        <n v="2647.0"/>
        <n v="904.0"/>
        <n v="3256.0"/>
        <n v="2404.0"/>
        <n v="1176.0"/>
        <n v="4941.0"/>
        <n v="914.0"/>
        <n v="1947.0"/>
        <n v="4799.0"/>
        <n v="4840.0"/>
        <n v="1813.0"/>
        <n v="3523.0"/>
        <n v="1674.0"/>
        <n v="1881.0"/>
        <n v="3775.0"/>
        <n v="1377.0"/>
        <n v="1792.0"/>
        <n v="1762.0"/>
        <n v="246.0"/>
        <n v="3559.0"/>
        <n v="1488.0"/>
        <n v="3000.0"/>
        <n v="1071.0"/>
        <n v="4158.0"/>
        <n v="4771.0"/>
        <n v="4523.0"/>
        <n v="1816.0"/>
        <n v="2180.0"/>
        <n v="3099.0"/>
        <n v="3068.0"/>
        <n v="4332.0"/>
        <n v="4739.0"/>
        <n v="1430.0"/>
        <n v="4619.0"/>
        <n v="725.0"/>
        <n v="4579.0"/>
        <n v="2107.0"/>
        <n v="4853.0"/>
        <n v="4808.0"/>
        <n v="3432.0"/>
        <n v="2103.0"/>
        <n v="4838.0"/>
        <n v="4518.0"/>
        <n v="3861.0"/>
        <n v="3182.0"/>
        <n v="3770.0"/>
        <n v="4054.0"/>
        <n v="3095.0"/>
        <n v="3773.0"/>
        <n v="1878.0"/>
        <n v="249.0"/>
        <n v="53.0"/>
        <n v="59.0"/>
        <n v="1000.0"/>
        <n v="1188.0"/>
        <n v="1877.0"/>
        <n v="2166.0"/>
        <n v="3170.0"/>
        <n v="1436.0"/>
        <n v="1556.0"/>
        <n v="1048.0"/>
        <n v="2278.0"/>
        <n v="754.0"/>
        <n v="1957.0"/>
        <n v="2147.0"/>
        <n v="1108.0"/>
        <n v="2214.0"/>
        <n v="3649.0"/>
        <n v="2704.0"/>
        <n v="1952.0"/>
        <n v="305.0"/>
        <n v="3239.0"/>
        <n v="1330.0"/>
        <n v="1076.0"/>
        <n v="4274.0"/>
        <n v="4886.0"/>
        <n v="3811.0"/>
        <n v="4750.0"/>
        <n v="3215.0"/>
        <n v="3801.0"/>
        <n v="2692.0"/>
        <n v="4000.0"/>
        <n v="3092.0"/>
        <n v="4671.0"/>
        <n v="571.0"/>
        <n v="4419.0"/>
        <n v="1575.0"/>
        <n v="4516.0"/>
        <n v="941.0"/>
        <n v="2164.0"/>
        <n v="3820.0"/>
        <n v="1238.0"/>
        <n v="4050.0"/>
        <n v="4858.0"/>
        <n v="2358.0"/>
        <n v="3592.0"/>
        <n v="1292.0"/>
        <n v="1082.0"/>
        <n v="1461.0"/>
        <n v="802.0"/>
        <n v="827.0"/>
        <n v="3791.0"/>
        <n v="929.0"/>
        <n v="1644.0"/>
        <n v="4494.0"/>
        <n v="3160.0"/>
        <n v="954.0"/>
        <n v="1121.0"/>
        <n v="2825.0"/>
        <n v="3535.0"/>
        <n v="1702.0"/>
        <n v="1950.0"/>
        <n v="4725.0"/>
        <n v="3731.0"/>
        <n v="3860.0"/>
        <n v="3577.0"/>
        <n v="4782.0"/>
        <n v="4187.0"/>
        <n v="2493.0"/>
        <n v="3338.0"/>
        <n v="3128.0"/>
        <n v="3440.0"/>
        <n v="3367.0"/>
        <n v="4672.0"/>
        <n v="4507.0"/>
        <n v="80.0"/>
        <n v="257.0"/>
        <n v="804.0"/>
        <n v="736.0"/>
        <n v="4661.0"/>
        <n v="4188.0"/>
        <n v="606.0"/>
        <n v="1543.0"/>
        <n v="3065.0"/>
        <n v="3389.0"/>
        <n v="3704.0"/>
        <n v="1686.0"/>
        <n v="1094.0"/>
        <n v="4934.0"/>
        <n v="1206.0"/>
        <n v="3655.0"/>
        <n v="4021.0"/>
        <n v="2754.0"/>
        <n v="1855.0"/>
        <n v="3138.0"/>
        <n v="3809.0"/>
        <n v="3874.0"/>
        <n v="2551.0"/>
        <n v="2283.0"/>
        <n v="4775.0"/>
        <n v="3929.0"/>
        <n v="4285.0"/>
        <n v="1018.0"/>
        <n v="3641.0"/>
        <n v="2746.0"/>
        <n v="1766.0"/>
        <n v="3711.0"/>
        <n v="3009.0"/>
        <n v="2936.0"/>
        <n v="296.0"/>
        <n v="2949.0"/>
        <n v="2509.0"/>
        <n v="2728.0"/>
        <n v="4350.0"/>
        <n v="4275.0"/>
        <n v="1171.0"/>
        <n v="2719.0"/>
        <n v="4450.0"/>
        <n v="4171.0"/>
        <n v="2076.0"/>
        <n v="2070.0"/>
        <n v="4780.0"/>
        <n v="3774.0"/>
        <n v="3557.0"/>
        <n v="3428.0"/>
        <n v="4929.0"/>
        <n v="4295.0"/>
        <n v="3166.0"/>
        <n v="4832.0"/>
        <n v="4905.0"/>
        <n v="1509.0"/>
        <n v="2143.0"/>
        <n v="1963.0"/>
        <n v="2795.0"/>
        <m/>
      </sharedItems>
    </cacheField>
    <cacheField name="Shares" numFmtId="4">
      <sharedItems containsString="0" containsBlank="1" containsNumber="1" containsInteger="1">
        <n v="772.0"/>
        <n v="594.0"/>
        <n v="126.0"/>
        <n v="158.0"/>
        <n v="711.0"/>
        <n v="680.0"/>
        <n v="928.0"/>
        <n v="94.0"/>
        <n v="116.0"/>
        <n v="550.0"/>
        <n v="453.0"/>
        <n v="190.0"/>
        <n v="173.0"/>
        <n v="930.0"/>
        <n v="925.0"/>
        <n v="874.0"/>
        <n v="831.0"/>
        <n v="111.0"/>
        <n v="476.0"/>
        <n v="338.0"/>
        <n v="78.0"/>
        <n v="555.0"/>
        <n v="517.0"/>
        <n v="148.0"/>
        <n v="47.0"/>
        <n v="19.0"/>
        <n v="498.0"/>
        <n v="686.0"/>
        <n v="941.0"/>
        <n v="400.0"/>
        <n v="726.0"/>
        <n v="297.0"/>
        <n v="824.0"/>
        <n v="514.0"/>
        <n v="266.0"/>
        <n v="653.0"/>
        <n v="134.0"/>
        <n v="640.0"/>
        <n v="48.0"/>
        <n v="511.0"/>
        <n v="119.0"/>
        <n v="808.0"/>
        <n v="851.0"/>
        <n v="566.0"/>
        <n v="51.0"/>
        <n v="628.0"/>
        <n v="252.0"/>
        <n v="248.0"/>
        <n v="187.0"/>
        <n v="714.0"/>
        <n v="697.0"/>
        <n v="397.0"/>
        <n v="504.0"/>
        <n v="17.0"/>
        <n v="547.0"/>
        <n v="465.0"/>
        <n v="377.0"/>
        <n v="667.0"/>
        <n v="106.0"/>
        <n v="754.0"/>
        <n v="935.0"/>
        <n v="33.0"/>
        <n v="265.0"/>
        <n v="553.0"/>
        <n v="525.0"/>
        <n v="629.0"/>
        <n v="761.0"/>
        <n v="902.0"/>
        <n v="145.0"/>
        <n v="532.0"/>
        <n v="89.0"/>
        <n v="652.0"/>
        <n v="253.0"/>
        <n v="426.0"/>
        <n v="568.0"/>
        <n v="931.0"/>
        <n v="385.0"/>
        <n v="604.0"/>
        <n v="451.0"/>
        <n v="31.0"/>
        <n v="897.0"/>
        <n v="770.0"/>
        <n v="643.0"/>
        <n v="784.0"/>
        <n v="746.0"/>
        <n v="701.0"/>
        <n v="932.0"/>
        <n v="675.0"/>
        <n v="616.0"/>
        <n v="590.0"/>
        <n v="153.0"/>
        <n v="951.0"/>
        <n v="690.0"/>
        <n v="164.0"/>
        <n v="649.0"/>
        <n v="375.0"/>
        <n v="658.0"/>
        <n v="118.0"/>
        <n v="749.0"/>
        <n v="888.0"/>
        <n v="695.0"/>
        <n v="466.0"/>
        <n v="569.0"/>
        <n v="624.0"/>
        <n v="304.0"/>
        <n v="973.0"/>
        <n v="459.0"/>
        <n v="363.0"/>
        <n v="464.0"/>
        <n v="414.0"/>
        <n v="842.0"/>
        <n v="694.0"/>
        <n v="38.0"/>
        <n v="623.0"/>
        <n v="753.0"/>
        <n v="929.0"/>
        <n v="501.0"/>
        <n v="16.0"/>
        <n v="796.0"/>
        <n v="614.0"/>
        <n v="405.0"/>
        <n v="149.0"/>
        <n v="59.0"/>
        <n v="417.0"/>
        <n v="382.0"/>
        <n v="519.0"/>
        <n v="167.0"/>
        <n v="818.0"/>
        <n v="61.0"/>
        <n v="29.0"/>
        <n v="263.0"/>
        <n v="137.0"/>
        <n v="771.0"/>
        <n v="527.0"/>
        <n v="376.0"/>
        <n v="821.0"/>
        <n v="88.0"/>
        <n v="125.0"/>
        <n v="837.0"/>
        <n v="869.0"/>
        <n v="892.0"/>
        <n v="285.0"/>
        <n v="960.0"/>
        <n v="559.0"/>
        <n v="917.0"/>
        <n v="488.0"/>
        <n v="39.0"/>
        <n v="299.0"/>
        <n v="62.0"/>
        <n v="592.0"/>
        <n v="81.0"/>
        <n v="163.0"/>
        <n v="978.0"/>
        <n v="171.0"/>
        <n v="470.0"/>
        <n v="745.0"/>
        <n v="354.0"/>
        <n v="857.0"/>
        <n v="765.0"/>
        <n v="195.0"/>
        <n v="374.0"/>
        <n v="10.0"/>
        <n v="197.0"/>
        <n v="877.0"/>
        <n v="430.0"/>
        <n v="177.0"/>
        <n v="249.0"/>
        <n v="215.0"/>
        <n v="752.0"/>
        <n v="344.0"/>
        <n v="43.0"/>
        <n v="313.0"/>
        <n v="340.0"/>
        <n v="983.0"/>
        <n v="866.0"/>
        <n v="151.0"/>
        <n v="967.0"/>
        <n v="115.0"/>
        <n v="689.0"/>
        <n v="876.0"/>
        <n v="236.0"/>
        <n v="836.0"/>
        <n v="121.0"/>
        <n v="549.0"/>
        <n v="366.0"/>
        <n v="871.0"/>
        <n v="317.0"/>
        <n v="911.0"/>
        <n v="626.0"/>
        <n v="209.0"/>
        <n v="184.0"/>
        <n v="262.0"/>
        <n v="77.0"/>
        <n v="593.0"/>
        <n v="192.0"/>
        <n v="546.0"/>
        <n v="717.0"/>
        <n v="204.0"/>
        <n v="324.0"/>
        <n v="135.0"/>
        <n v="535.0"/>
        <n v="494.0"/>
        <n v="750.0"/>
        <n v="389.0"/>
        <n v="295.0"/>
        <n v="201.0"/>
        <n v="596.0"/>
        <n v="721.0"/>
        <n v="66.0"/>
        <n v="97.0"/>
        <n v="277.0"/>
        <n v="211.0"/>
        <n v="13.0"/>
        <n v="302.0"/>
        <n v="325.0"/>
        <n v="217.0"/>
        <n v="362.0"/>
        <n v="966.0"/>
        <n v="639.0"/>
        <n v="942.0"/>
        <n v="789.0"/>
        <n v="820.0"/>
        <n v="186.0"/>
        <n v="904.0"/>
        <n v="472.0"/>
        <n v="971.0"/>
        <n v="238.0"/>
        <n v="794.0"/>
        <n v="130.0"/>
        <n v="200.0"/>
        <n v="123.0"/>
        <n v="273.0"/>
        <n v="884.0"/>
        <n v="915.0"/>
        <n v="210.0"/>
        <n v="886.0"/>
        <n v="447.0"/>
        <n v="226.0"/>
        <n v="156.0"/>
        <n v="92.0"/>
        <n v="352.0"/>
        <n v="413.0"/>
        <n v="439.0"/>
        <n v="60.0"/>
        <n v="533.0"/>
        <n v="286.0"/>
        <n v="548.0"/>
        <n v="275.0"/>
        <n v="691.0"/>
        <n v="239.0"/>
        <n v="687.0"/>
        <n v="305.0"/>
        <n v="853.0"/>
        <n v="90.0"/>
        <n v="893.0"/>
        <n v="845.0"/>
        <n v="12.0"/>
        <n v="213.0"/>
        <n v="105.0"/>
        <m/>
      </sharedItems>
    </cacheField>
    <cacheField name="Comments" numFmtId="4">
      <sharedItems containsString="0" containsBlank="1" containsNumber="1" containsInteger="1">
        <n v="400.0"/>
        <n v="156.0"/>
        <n v="153.0"/>
        <n v="149.0"/>
        <n v="298.0"/>
        <n v="434.0"/>
        <n v="301.0"/>
        <n v="488.0"/>
        <n v="37.0"/>
        <n v="420.0"/>
        <n v="270.0"/>
        <n v="490.0"/>
        <n v="340.0"/>
        <n v="276.0"/>
        <n v="355.0"/>
        <n v="350.0"/>
        <n v="172.0"/>
        <n v="345.0"/>
        <n v="69.0"/>
        <n v="485.0"/>
        <n v="131.0"/>
        <n v="117.0"/>
        <n v="253.0"/>
        <n v="430.0"/>
        <n v="351.0"/>
        <n v="367.0"/>
        <n v="377.0"/>
        <n v="376.0"/>
        <n v="241.0"/>
        <n v="99.0"/>
        <n v="238.0"/>
        <n v="8.0"/>
        <n v="363.0"/>
        <n v="482.0"/>
        <n v="403.0"/>
        <n v="240.0"/>
        <n v="306.0"/>
        <n v="70.0"/>
        <n v="7.0"/>
        <n v="404.0"/>
        <n v="342.0"/>
        <n v="164.0"/>
        <n v="392.0"/>
        <n v="443.0"/>
        <n v="335.0"/>
        <n v="416.0"/>
        <n v="260.0"/>
        <n v="207.0"/>
        <n v="357.0"/>
        <n v="239.0"/>
        <n v="295.0"/>
        <n v="316.0"/>
        <n v="360.0"/>
        <n v="395.0"/>
        <n v="327.0"/>
        <n v="54.0"/>
        <n v="274.0"/>
        <n v="134.0"/>
        <n v="174.0"/>
        <n v="500.0"/>
        <n v="177.0"/>
        <n v="176.0"/>
        <n v="47.0"/>
        <n v="225.0"/>
        <n v="71.0"/>
        <n v="442.0"/>
        <n v="486.0"/>
        <n v="127.0"/>
        <n v="230.0"/>
        <n v="310.0"/>
        <n v="128.0"/>
        <n v="286.0"/>
        <n v="279.0"/>
        <n v="85.0"/>
        <n v="19.0"/>
        <n v="136.0"/>
        <n v="183.0"/>
        <n v="315.0"/>
        <n v="412.0"/>
        <n v="287.0"/>
        <n v="478.0"/>
        <n v="324.0"/>
        <n v="432.0"/>
        <n v="393.0"/>
        <n v="275.0"/>
        <n v="26.0"/>
        <n v="205.0"/>
        <n v="318.0"/>
        <n v="140.0"/>
        <n v="323.0"/>
        <n v="441.0"/>
        <n v="15.0"/>
        <n v="111.0"/>
        <n v="444.0"/>
        <n v="75.0"/>
        <n v="288.0"/>
        <n v="55.0"/>
        <n v="428.0"/>
        <n v="123.0"/>
        <n v="170.0"/>
        <n v="63.0"/>
        <n v="266.0"/>
        <n v="138.0"/>
        <n v="394.0"/>
        <n v="246.0"/>
        <n v="101.0"/>
        <n v="289.0"/>
        <n v="211.0"/>
        <n v="42.0"/>
        <n v="72.0"/>
        <n v="387.0"/>
        <n v="497.0"/>
        <n v="423.0"/>
        <n v="130.0"/>
        <n v="168.0"/>
        <n v="325.0"/>
        <n v="22.0"/>
        <n v="56.0"/>
        <n v="157.0"/>
        <n v="41.0"/>
        <n v="171.0"/>
        <n v="329.0"/>
        <n v="219.0"/>
        <n v="135.0"/>
        <n v="33.0"/>
        <n v="499.0"/>
        <n v="300.0"/>
        <n v="349.0"/>
        <n v="320.0"/>
        <n v="103.0"/>
        <n v="383.0"/>
        <n v="160.0"/>
        <n v="129.0"/>
        <n v="373.0"/>
        <n v="78.0"/>
        <n v="38.0"/>
        <n v="179.0"/>
        <n v="379.0"/>
        <n v="93.0"/>
        <n v="162.0"/>
        <n v="280.0"/>
        <n v="496.0"/>
        <n v="450.0"/>
        <n v="321.0"/>
        <n v="212.0"/>
        <n v="257.0"/>
        <n v="152.0"/>
        <n v="413.0"/>
        <n v="243.0"/>
        <n v="35.0"/>
        <n v="281.0"/>
        <n v="409.0"/>
        <n v="216.0"/>
        <n v="415.0"/>
        <n v="202.0"/>
        <n v="401.0"/>
        <n v="64.0"/>
        <n v="291.0"/>
        <n v="405.0"/>
        <n v="366.0"/>
        <n v="352.0"/>
        <n v="369.0"/>
        <n v="169.0"/>
        <n v="458.0"/>
        <n v="268.0"/>
        <n v="347.0"/>
        <n v="344.0"/>
        <n v="375.0"/>
        <n v="484.0"/>
        <n v="244.0"/>
        <n v="402.0"/>
        <n v="228.0"/>
        <n v="322.0"/>
        <n v="150.0"/>
        <n v="45.0"/>
        <n v="297.0"/>
        <n v="18.0"/>
        <n v="493.0"/>
        <n v="362.0"/>
        <n v="82.0"/>
        <n v="31.0"/>
        <n v="44.0"/>
        <n v="118.0"/>
        <n v="197.0"/>
        <n v="20.0"/>
        <n v="57.0"/>
        <n v="32.0"/>
        <n v="13.0"/>
        <n v="80.0"/>
        <n v="398.0"/>
        <n v="43.0"/>
        <n v="433.0"/>
        <n v="470.0"/>
        <n v="333.0"/>
        <n v="142.0"/>
        <n v="229.0"/>
        <n v="472.0"/>
        <n v="21.0"/>
        <n v="36.0"/>
        <n v="77.0"/>
        <n v="90.0"/>
        <n v="200.0"/>
        <n v="206.0"/>
        <n v="278.0"/>
        <n v="332.0"/>
        <n v="46.0"/>
        <n v="203.0"/>
        <n v="424.0"/>
        <n v="290.0"/>
        <n v="358.0"/>
        <n v="141.0"/>
        <n v="215.0"/>
        <n v="385.0"/>
        <n v="231.0"/>
        <n v="285.0"/>
        <n v="143.0"/>
        <n v="86.0"/>
        <n v="104.0"/>
        <n v="386.0"/>
        <n v="380.0"/>
        <n v="39.0"/>
        <n v="452.0"/>
        <n v="341.0"/>
        <n v="10.0"/>
        <n v="163.0"/>
        <n v="204.0"/>
        <n v="49.0"/>
        <m/>
      </sharedItems>
    </cacheField>
    <cacheField name="Impressions" numFmtId="4">
      <sharedItems containsString="0" containsBlank="1" containsNumber="1" containsInteger="1">
        <n v="3582.0"/>
        <n v="4214.0"/>
        <n v="4430.0"/>
        <n v="3372.0"/>
        <n v="21180.0"/>
        <n v="6400.0"/>
        <n v="8580.0"/>
        <n v="12720.0"/>
        <n v="15040.0"/>
        <n v="8743.0"/>
        <n v="28824.0"/>
        <n v="14952.0"/>
        <n v="28602.0"/>
        <n v="28386.0"/>
        <n v="23560.0"/>
        <n v="24192.0"/>
        <n v="30247.0"/>
        <n v="17410.0"/>
        <n v="31171.0"/>
        <n v="16712.0"/>
        <n v="10417.0"/>
        <n v="18328.0"/>
        <n v="33936.0"/>
        <n v="23229.0"/>
        <n v="30624.0"/>
        <n v="5738.0"/>
        <n v="12570.0"/>
        <n v="29460.0"/>
        <n v="23352.0"/>
        <n v="35156.0"/>
        <n v="16884.0"/>
        <n v="28974.0"/>
        <n v="12320.0"/>
        <n v="41340.0"/>
        <n v="37670.0"/>
        <n v="35640.0"/>
        <n v="25396.0"/>
        <n v="43576.0"/>
        <n v="51579.0"/>
        <n v="50184.0"/>
        <n v="40579.0"/>
        <n v="53292.0"/>
        <n v="14712.0"/>
        <n v="56760.0"/>
        <n v="34979.0"/>
        <n v="48020.0"/>
        <n v="55796.0"/>
        <n v="45832.0"/>
        <n v="29936.0"/>
        <n v="43170.0"/>
        <n v="25120.0"/>
        <n v="68265.0"/>
        <n v="49440.0"/>
        <n v="25260.0"/>
        <n v="37400.0"/>
        <n v="51282.0"/>
        <n v="32120.0"/>
        <n v="24168.0"/>
        <n v="55232.0"/>
        <n v="64532.0"/>
        <n v="50565.0"/>
        <n v="43524.0"/>
        <n v="68634.0"/>
        <n v="44016.0"/>
        <n v="38112.0"/>
        <n v="52241.0"/>
        <n v="60480.0"/>
        <n v="60588.0"/>
        <n v="82824.0"/>
        <n v="67337.0"/>
        <n v="72097.0"/>
        <n v="69945.0"/>
        <n v="37296.0"/>
        <n v="29736.0"/>
        <n v="65588.0"/>
        <n v="75834.0"/>
        <n v="78394.0"/>
        <n v="84816.0"/>
        <n v="92120.0"/>
        <n v="70642.0"/>
        <n v="77760.0"/>
        <n v="86060.0"/>
        <n v="75960.0"/>
        <n v="588.0"/>
        <n v="1030.0"/>
        <n v="1290.0"/>
        <n v="1704.0"/>
        <n v="4168.0"/>
        <n v="4980.0"/>
        <n v="6895.0"/>
        <n v="9850.0"/>
        <n v="6984.0"/>
        <n v="11170.0"/>
        <n v="4680.0"/>
        <n v="3066.0"/>
        <n v="8586.0"/>
        <n v="13015.0"/>
        <n v="8705.0"/>
        <n v="21815.0"/>
        <n v="22505.0"/>
        <n v="22805.0"/>
        <n v="13044.0"/>
        <n v="12830.0"/>
        <n v="21450.0"/>
        <n v="21938.0"/>
        <n v="21606.0"/>
        <n v="24798.0"/>
        <n v="15660.0"/>
        <n v="25062.0"/>
        <n v="8208.0"/>
        <n v="6912.0"/>
        <n v="18529.0"/>
        <n v="11752.0"/>
        <n v="26048.0"/>
        <n v="19232.0"/>
        <n v="14112.0"/>
        <n v="39528.0"/>
        <n v="11882.0"/>
        <n v="21417.0"/>
        <n v="43191.0"/>
        <n v="43560.0"/>
        <n v="4482.0"/>
        <n v="19943.0"/>
        <n v="38753.0"/>
        <n v="21762.0"/>
        <n v="20691.0"/>
        <n v="33975.0"/>
        <n v="22032.0"/>
        <n v="25088.0"/>
        <n v="22906.0"/>
        <n v="4674.0"/>
        <n v="35590.0"/>
        <n v="19344.0"/>
        <n v="36000.0"/>
        <n v="16065.0"/>
        <n v="45738.0"/>
        <n v="57252.0"/>
        <n v="49753.0"/>
        <n v="19976.0"/>
        <n v="30520.0"/>
        <n v="43386.0"/>
        <n v="39884.0"/>
        <n v="60648.0"/>
        <n v="61607.0"/>
        <n v="69285.0"/>
        <n v="14500.0"/>
        <n v="59527.0"/>
        <n v="35819.0"/>
        <n v="72795.0"/>
        <n v="72120.0"/>
        <n v="54912.0"/>
        <n v="39957.0"/>
        <n v="72570.0"/>
        <n v="67770.0"/>
        <n v="69498.0"/>
        <n v="57276.0"/>
        <n v="71630.0"/>
        <n v="77026.0"/>
        <n v="55710.0"/>
        <n v="71687.0"/>
        <n v="37560.0"/>
        <n v="1494.0"/>
        <n v="954.0"/>
        <n v="590.0"/>
        <n v="6000.0"/>
        <n v="3024.0"/>
        <n v="7128.0"/>
        <n v="11262.0"/>
        <n v="10830.0"/>
        <n v="19020.0"/>
        <n v="12924.0"/>
        <n v="9336.0"/>
        <n v="9432.0"/>
        <n v="13668.0"/>
        <n v="6786.0"/>
        <n v="17613.0"/>
        <n v="17176.0"/>
        <n v="8864.0"/>
        <n v="15498.0"/>
        <n v="25543.0"/>
        <n v="21632.0"/>
        <n v="15616.0"/>
        <n v="4575.0"/>
        <n v="22673.0"/>
        <n v="15960.0"/>
        <n v="11836.0"/>
        <n v="34192.0"/>
        <n v="43974.0"/>
        <n v="34299.0"/>
        <n v="38000.0"/>
        <n v="32150.0"/>
        <n v="38010.0"/>
        <n v="21536.0"/>
        <n v="40000.0"/>
        <n v="27828.0"/>
        <n v="20878.0"/>
        <n v="51381.0"/>
        <n v="9707.0"/>
        <n v="44190.0"/>
        <n v="25200.0"/>
        <n v="49676.0"/>
        <n v="14115.0"/>
        <n v="28132.0"/>
        <n v="45840.0"/>
        <n v="19808.0"/>
        <n v="52650.0"/>
        <n v="53438.0"/>
        <n v="35370.0"/>
        <n v="50288.0"/>
        <n v="25840.0"/>
        <n v="19476.0"/>
        <n v="21915.0"/>
        <n v="14436.0"/>
        <n v="14886.0"/>
        <n v="53074.0"/>
        <n v="16722.0"/>
        <n v="27948.0"/>
        <n v="62916.0"/>
        <n v="44240.0"/>
        <n v="19080.0"/>
        <n v="15694.0"/>
        <n v="45200.0"/>
        <n v="53025.0"/>
        <n v="34040.0"/>
        <n v="64864.0"/>
        <n v="37050.0"/>
        <n v="75600.0"/>
        <n v="55965.0"/>
        <n v="61760.0"/>
        <n v="67963.0"/>
        <n v="86076.0"/>
        <n v="66992.0"/>
        <n v="42381.0"/>
        <n v="60084.0"/>
        <n v="59432.0"/>
        <n v="58480.0"/>
        <n v="63973.0"/>
        <n v="88768.0"/>
        <n v="90140.0"/>
        <n v="1040.0"/>
        <n v="3341.0"/>
        <n v="4020.0"/>
        <n v="5152.0"/>
        <n v="23305.0"/>
        <n v="20940.0"/>
        <n v="7878.0"/>
        <n v="12344.0"/>
        <n v="18390.0"/>
        <n v="20334.0"/>
        <n v="25928.0"/>
        <n v="18546.0"/>
        <n v="9846.0"/>
        <n v="39472.0"/>
        <n v="9648.0"/>
        <n v="32895.0"/>
        <n v="36189.0"/>
        <n v="16695.0"/>
        <n v="28242.0"/>
        <n v="34281.0"/>
        <n v="38740.0"/>
        <n v="30612.0"/>
        <n v="22830.0"/>
        <n v="47750.0"/>
        <n v="43219.0"/>
        <n v="55705.0"/>
        <n v="18324.0"/>
        <n v="40051.0"/>
        <n v="32952.0"/>
        <n v="24724.0"/>
        <n v="48243.0"/>
        <n v="42126.0"/>
        <n v="38168.0"/>
        <n v="5624.0"/>
        <n v="44235.0"/>
        <n v="35126.0"/>
        <n v="40920.0"/>
        <n v="60900.0"/>
        <n v="64125.0"/>
        <n v="22249.0"/>
        <n v="40785.0"/>
        <n v="75650.0"/>
        <n v="66736.0"/>
        <n v="33216.0"/>
        <n v="39330.0"/>
        <n v="86040.0"/>
        <n v="60384.0"/>
        <n v="71140.0"/>
        <n v="58276.0"/>
        <n v="93651.0"/>
        <n v="85900.0"/>
        <n v="56988.0"/>
        <n v="91808.0"/>
        <n v="98100.0"/>
        <n v="30180.0"/>
        <n v="40717.0"/>
        <n v="39260.0"/>
        <n v="53105.0"/>
        <m/>
      </sharedItems>
    </cacheField>
    <cacheField name="Reach" numFmtId="4">
      <sharedItems containsString="0" containsBlank="1" containsNumber="1" containsInteger="1">
        <n v="2988.0"/>
        <n v="3363.0"/>
        <n v="4037.0"/>
        <n v="2940.0"/>
        <n v="20516.0"/>
        <n v="5472.0"/>
        <n v="8081.0"/>
        <n v="12085.0"/>
        <n v="14639.0"/>
        <n v="8538.0"/>
        <n v="28370.0"/>
        <n v="14309.0"/>
        <n v="28044.0"/>
        <n v="28185.0"/>
        <n v="23275.0"/>
        <n v="23518.0"/>
        <n v="29254.0"/>
        <n v="16844.0"/>
        <n v="30565.0"/>
        <n v="16309.0"/>
        <n v="9730.0"/>
        <n v="18101.0"/>
        <n v="33802.0"/>
        <n v="22331.0"/>
        <n v="30229.0"/>
        <n v="4890.0"/>
        <n v="11660.0"/>
        <n v="28527.0"/>
        <n v="22982.0"/>
        <n v="34444.0"/>
        <n v="15954.0"/>
        <n v="28102.0"/>
        <n v="11978.0"/>
        <n v="41050.0"/>
        <n v="36807.0"/>
        <n v="34850.0"/>
        <n v="25286.0"/>
        <n v="43338.0"/>
        <n v="50924.0"/>
        <n v="49351.0"/>
        <n v="39588.0"/>
        <n v="53082.0"/>
        <n v="14049.0"/>
        <n v="56343.0"/>
        <n v="34154.0"/>
        <n v="47305.0"/>
        <n v="54826.0"/>
        <n v="45632.0"/>
        <n v="29576.0"/>
        <n v="42667.0"/>
        <n v="24613.0"/>
        <n v="67754.0"/>
        <n v="48524.0"/>
        <n v="24615.0"/>
        <n v="36938.0"/>
        <n v="50567.0"/>
        <n v="31736.0"/>
        <n v="23719.0"/>
        <n v="55075.0"/>
        <n v="63550.0"/>
        <n v="49816.0"/>
        <n v="42743.0"/>
        <n v="68488.0"/>
        <n v="43415.0"/>
        <n v="37437.0"/>
        <n v="51605.0"/>
        <n v="59610.0"/>
        <n v="59627.0"/>
        <n v="82543.0"/>
        <n v="66615.0"/>
        <n v="71598.0"/>
        <n v="69596.0"/>
        <n v="36467.0"/>
        <n v="28771.0"/>
        <n v="65049.0"/>
        <n v="75437.0"/>
        <n v="77798.0"/>
        <n v="84691.0"/>
        <n v="91440.0"/>
        <n v="69749.0"/>
        <n v="77167.0"/>
        <n v="85823.0"/>
        <n v="75813.0"/>
        <n v="8.0"/>
        <n v="410.0"/>
        <n v="839.0"/>
        <n v="995.0"/>
        <n v="3399.0"/>
        <n v="4185.0"/>
        <n v="6757.0"/>
        <n v="8924.0"/>
        <n v="6636.0"/>
        <n v="10569.0"/>
        <n v="4322.0"/>
        <n v="2701.0"/>
        <n v="8396.0"/>
        <n v="12130.0"/>
        <n v="8272.0"/>
        <n v="21481.0"/>
        <n v="21836.0"/>
        <n v="21890.0"/>
        <n v="12206.0"/>
        <n v="12264.0"/>
        <n v="20785.0"/>
        <n v="21337.0"/>
        <n v="21454.0"/>
        <n v="24620.0"/>
        <n v="15145.0"/>
        <n v="24847.0"/>
        <n v="7377.0"/>
        <n v="6259.0"/>
        <n v="17841.0"/>
        <n v="11580.0"/>
        <n v="25529.0"/>
        <n v="18636.0"/>
        <n v="13588.0"/>
        <n v="39154.0"/>
        <n v="11500.0"/>
        <n v="20967.0"/>
        <n v="42228.0"/>
        <n v="43225.0"/>
        <n v="3647.0"/>
        <n v="18959.0"/>
        <n v="38579.0"/>
        <n v="20998.0"/>
        <n v="19987.0"/>
        <n v="33310.0"/>
        <n v="21869.0"/>
        <n v="24675.0"/>
        <n v="21925.0"/>
        <n v="4390.0"/>
        <n v="35105.0"/>
        <n v="18395.0"/>
        <n v="35819.0"/>
        <n v="15865.0"/>
        <n v="45183.0"/>
        <n v="56378.0"/>
        <n v="49329.0"/>
        <n v="19262.0"/>
        <n v="30059.0"/>
        <n v="42921.0"/>
        <n v="39404.0"/>
        <n v="60397.0"/>
        <n v="61333.0"/>
        <n v="20509.0"/>
        <n v="69141.0"/>
        <n v="13637.0"/>
        <n v="59400.0"/>
        <n v="35340.0"/>
        <n v="72237.0"/>
        <n v="71696.0"/>
        <n v="53916.0"/>
        <n v="39466.0"/>
        <n v="72396.0"/>
        <n v="67621.0"/>
        <n v="68817.0"/>
        <n v="56890.0"/>
        <n v="71322.0"/>
        <n v="76881.0"/>
        <n v="54808.0"/>
        <n v="71447.0"/>
        <n v="36874.0"/>
        <n v="1044.0"/>
        <n v="7.0"/>
        <n v="475.0"/>
        <n v="5221.0"/>
        <n v="2285.0"/>
        <n v="6145.0"/>
        <n v="10967.0"/>
        <n v="10245.0"/>
        <n v="18559.0"/>
        <n v="12701.0"/>
        <n v="8875.0"/>
        <n v="8882.0"/>
        <n v="12676.0"/>
        <n v="12564.0"/>
        <n v="6221.0"/>
        <n v="16865.0"/>
        <n v="16483.0"/>
        <n v="8710.0"/>
        <n v="14800.0"/>
        <n v="24963.0"/>
        <n v="20792.0"/>
        <n v="15403.0"/>
        <n v="3704.0"/>
        <n v="22171.0"/>
        <n v="15379.0"/>
        <n v="11596.0"/>
        <n v="33446.0"/>
        <n v="43239.0"/>
        <n v="34088.0"/>
        <n v="37792.0"/>
        <n v="31404.0"/>
        <n v="37625.0"/>
        <n v="21120.0"/>
        <n v="39569.0"/>
        <n v="27217.0"/>
        <n v="20190.0"/>
        <n v="50565.0"/>
        <n v="9418.0"/>
        <n v="43582.0"/>
        <n v="24826.0"/>
        <n v="49257.0"/>
        <n v="13838.0"/>
        <n v="27361.0"/>
        <n v="45631.0"/>
        <n v="19334.0"/>
        <n v="51755.0"/>
        <n v="52687.0"/>
        <n v="34475.0"/>
        <n v="49490.0"/>
        <n v="24916.0"/>
        <n v="18654.0"/>
        <n v="21675.0"/>
        <n v="14280.0"/>
        <n v="14129.0"/>
        <n v="52613.0"/>
        <n v="15996.0"/>
        <n v="27184.0"/>
        <n v="62688.0"/>
        <n v="43666.0"/>
        <n v="18859.0"/>
        <n v="14957.0"/>
        <n v="44739.0"/>
        <n v="52791.0"/>
        <n v="33174.0"/>
        <n v="64383.0"/>
        <n v="36272.0"/>
        <n v="74927.0"/>
        <n v="55436.0"/>
        <n v="61660.0"/>
        <n v="67839.0"/>
        <n v="85339.0"/>
        <n v="66614.0"/>
        <n v="41991.0"/>
        <n v="59842.0"/>
        <n v="59182.0"/>
        <n v="58146.0"/>
        <n v="63789.0"/>
        <n v="87833.0"/>
        <n v="89591.0"/>
        <n v="349.0"/>
        <n v="2753.0"/>
        <n v="3144.0"/>
        <n v="4706.0"/>
        <n v="22583.0"/>
        <n v="20471.0"/>
        <n v="7389.0"/>
        <n v="11496.0"/>
        <n v="17875.0"/>
        <n v="19443.0"/>
        <n v="25081.0"/>
        <n v="18171.0"/>
        <n v="9609.0"/>
        <n v="39025.0"/>
        <n v="9417.0"/>
        <n v="32015.0"/>
        <n v="35505.0"/>
        <n v="21288.0"/>
        <n v="16330.0"/>
        <n v="27550.0"/>
        <n v="33534.0"/>
        <n v="38552.0"/>
        <n v="30360.0"/>
        <n v="22617.0"/>
        <n v="47544.0"/>
        <n v="42841.0"/>
        <n v="55556.0"/>
        <n v="18164.0"/>
        <n v="39319.0"/>
        <n v="32147.0"/>
        <n v="24333.0"/>
        <n v="47579.0"/>
        <n v="41309.0"/>
        <n v="37571.0"/>
        <n v="5239.0"/>
        <n v="43705.0"/>
        <n v="34685.0"/>
        <n v="40816.0"/>
        <n v="60592.0"/>
        <n v="63650.0"/>
        <n v="21282.0"/>
        <n v="40281.0"/>
        <n v="75008.0"/>
        <n v="66634.0"/>
        <n v="32244.0"/>
        <n v="38627.0"/>
        <n v="85743.0"/>
        <n v="59490.0"/>
        <n v="70701.0"/>
        <n v="58052.0"/>
        <n v="92810.0"/>
        <n v="85788.0"/>
        <n v="56125.0"/>
        <n v="91296.0"/>
        <n v="97772.0"/>
        <n v="29689.0"/>
        <n v="40125.0"/>
        <n v="38771.0"/>
        <n v="52307.0"/>
        <m/>
      </sharedItems>
    </cacheField>
    <cacheField name="Clicks" numFmtId="4">
      <sharedItems containsString="0" containsBlank="1" containsNumber="1" containsInteger="1">
        <n v="43.0"/>
        <n v="164.0"/>
        <n v="212.0"/>
        <n v="93.0"/>
        <n v="238.0"/>
        <n v="160.0"/>
        <n v="91.0"/>
        <n v="17.0"/>
        <n v="277.0"/>
        <n v="63.0"/>
        <n v="47.0"/>
        <n v="275.0"/>
        <n v="210.0"/>
        <n v="89.0"/>
        <n v="256.0"/>
        <n v="36.0"/>
        <n v="122.0"/>
        <n v="58.0"/>
        <n v="23.0"/>
        <n v="64.0"/>
        <n v="34.0"/>
        <n v="10.0"/>
        <n v="265.0"/>
        <n v="70.0"/>
        <n v="235.0"/>
        <n v="25.0"/>
        <n v="194.0"/>
        <n v="60.0"/>
        <n v="213.0"/>
        <n v="241.0"/>
        <n v="113.0"/>
        <n v="177.0"/>
        <n v="226.0"/>
        <n v="208.0"/>
        <n v="39.0"/>
        <n v="240.0"/>
        <n v="173.0"/>
        <n v="159.0"/>
        <n v="123.0"/>
        <n v="131.0"/>
        <n v="255.0"/>
        <n v="120.0"/>
        <n v="264.0"/>
        <n v="248.0"/>
        <n v="288.0"/>
        <n v="75.0"/>
        <n v="133.0"/>
        <n v="57.0"/>
        <n v="137.0"/>
        <n v="225.0"/>
        <n v="84.0"/>
        <n v="42.0"/>
        <n v="87.0"/>
        <n v="292.0"/>
        <n v="176.0"/>
        <n v="182.0"/>
        <n v="251.0"/>
        <n v="129.0"/>
        <n v="249.0"/>
        <n v="246.0"/>
        <n v="192.0"/>
        <n v="92.0"/>
        <n v="161.0"/>
        <n v="167.0"/>
        <n v="35.0"/>
        <n v="215.0"/>
        <n v="158.0"/>
        <n v="272.0"/>
        <n v="88.0"/>
        <n v="100.0"/>
        <n v="56.0"/>
        <n v="233.0"/>
        <n v="20.0"/>
        <n v="14.0"/>
        <n v="266.0"/>
        <n v="12.0"/>
        <n v="262.0"/>
        <n v="154.0"/>
        <n v="282.0"/>
        <n v="185.0"/>
        <n v="117.0"/>
        <n v="82.0"/>
        <n v="198.0"/>
        <n v="150.0"/>
        <n v="121.0"/>
        <n v="157.0"/>
        <n v="132.0"/>
        <n v="45.0"/>
        <n v="221.0"/>
        <n v="195.0"/>
        <n v="130.0"/>
        <n v="172.0"/>
        <n v="73.0"/>
        <n v="230.0"/>
        <n v="205.0"/>
        <n v="79.0"/>
        <n v="46.0"/>
        <n v="143.0"/>
        <n v="128.0"/>
        <n v="217.0"/>
        <n v="186.0"/>
        <n v="118.0"/>
        <n v="32.0"/>
        <n v="85.0"/>
        <n v="270.0"/>
        <n v="289.0"/>
        <n v="271.0"/>
        <n v="189.0"/>
        <n v="65.0"/>
        <n v="30.0"/>
        <n v="19.0"/>
        <n v="103.0"/>
        <n v="142.0"/>
        <n v="71.0"/>
        <n v="283.0"/>
        <n v="174.0"/>
        <n v="52.0"/>
        <n v="298.0"/>
        <n v="200.0"/>
        <n v="269.0"/>
        <n v="191.0"/>
        <n v="170.0"/>
        <n v="28.0"/>
        <n v="83.0"/>
        <n v="31.0"/>
        <n v="297.0"/>
        <n v="163.0"/>
        <n v="76.0"/>
        <n v="286.0"/>
        <n v="201.0"/>
        <n v="148.0"/>
        <n v="293.0"/>
        <n v="223.0"/>
        <n v="184.0"/>
        <n v="41.0"/>
        <n v="24.0"/>
        <n v="197.0"/>
        <n v="21.0"/>
        <n v="97.0"/>
        <n v="180.0"/>
        <n v="127.0"/>
        <n v="234.0"/>
        <n v="229.0"/>
        <n v="104.0"/>
        <n v="299.0"/>
        <n v="236.0"/>
        <n v="224.0"/>
        <n v="44.0"/>
        <n v="102.0"/>
        <n v="219.0"/>
        <n v="245.0"/>
        <n v="231.0"/>
        <n v="171.0"/>
        <n v="209.0"/>
        <n v="216.0"/>
        <n v="149.0"/>
        <n v="15.0"/>
        <n v="49.0"/>
        <n v="254.0"/>
        <n v="145.0"/>
        <n v="300.0"/>
        <n v="99.0"/>
        <n v="169.0"/>
        <n v="119.0"/>
        <n v="53.0"/>
        <n v="62.0"/>
        <n v="242.0"/>
        <n v="252.0"/>
        <n v="125.0"/>
        <n v="287.0"/>
        <n v="11.0"/>
        <n v="239.0"/>
        <n v="228.0"/>
        <n v="112.0"/>
        <n v="237.0"/>
        <n v="199.0"/>
        <n v="227.0"/>
        <n v="187.0"/>
        <n v="51.0"/>
        <n v="38.0"/>
        <n v="296.0"/>
        <n v="147.0"/>
        <n v="211.0"/>
        <n v="22.0"/>
        <n v="135.0"/>
        <n v="114.0"/>
        <n v="40.0"/>
        <n v="66.0"/>
        <n v="290.0"/>
        <n v="279.0"/>
        <n v="204.0"/>
        <m/>
      </sharedItems>
    </cacheField>
    <cacheField name="Hashtag_Clean_1" numFmtId="0">
      <sharedItems containsBlank="1">
        <s v="PepsiCoRefresh"/>
        <s v="ThirstyForMore"/>
        <s v="LiveForNow"/>
        <m/>
      </sharedItems>
    </cacheField>
    <cacheField name="hashtag_clean2" numFmtId="0">
      <sharedItems containsBlank="1">
        <s v=""/>
        <s v="SmoothLikeNitroPepsi"/>
        <s v="AnytimeIsPepsiTime"/>
        <s v="ThirstyForMore"/>
        <s v="PepsiCoRefresh"/>
        <s v="BetterWithPepsi"/>
        <m/>
      </sharedItems>
    </cacheField>
    <cacheField name="hashtag_clean3" numFmtId="0">
      <sharedItems containsBlank="1">
        <s v=""/>
        <s v="ThirstyForMore"/>
        <s v="BetterWithPepsi"/>
        <s v="AnytimeIsPepsiTime"/>
        <m/>
      </sharedItems>
    </cacheField>
    <cacheField name="Engagement_Rate" numFmtId="10">
      <sharedItems containsString="0" containsBlank="1" containsNumber="1">
        <n v="0.38274706867671693"/>
        <n v="0.32083531086853345"/>
        <n v="0.26297968397291194"/>
        <n v="0.25771055753262156"/>
        <n v="0.2476392823418319"/>
        <n v="0.2365625"/>
        <n v="0.23414918414918415"/>
        <n v="0.21745283018867925"/>
        <n v="0.2087101063829787"/>
        <n v="0.20416333066453163"/>
        <n v="0.19511518179295032"/>
        <n v="0.18806848582129482"/>
        <n v="0.1851968393818614"/>
        <n v="0.18248432325794406"/>
        <n v="0.17954159592529711"/>
        <n v="0.17770337301587302"/>
        <n v="0.1774390848679208"/>
        <n v="0.1675473865594486"/>
        <n v="0.1598922075005614"/>
        <n v="0.15761129727142173"/>
        <n v="0.1569549774407219"/>
        <n v="0.15571802706241816"/>
        <n v="0.14521452145214522"/>
        <n v="0.13840458048129492"/>
        <n v="0.13809430512016718"/>
        <n v="0.1357615894039735"/>
        <n v="0.1294351630867144"/>
        <n v="0.12936184657162253"/>
        <n v="0.12885405960945528"/>
        <n v="0.1283706906360223"/>
        <n v="0.12781331438047855"/>
        <n v="0.12428384068475185"/>
        <n v="0.12353896103896105"/>
        <n v="0.12232704402515723"/>
        <n v="0.1199628351473321"/>
        <n v="0.11879910213243547"/>
        <n v="0.11143487163332809"/>
        <n v="0.1095786671562328"/>
        <n v="0.10132030477519921"/>
        <n v="0.10086880280567512"/>
        <n v="0.09963281500283398"/>
        <n v="0.09423553253771673"/>
        <n v="0.09189777052746058"/>
        <n v="0.08801973220577872"/>
        <n v="0.08673775693987822"/>
        <n v="0.08663057059558517"/>
        <n v="0.084862714173059"/>
        <n v="0.0821914819340199"/>
        <n v="0.0821084981293426"/>
        <n v="0.08204771832290943"/>
        <n v="0.08029458598726115"/>
        <n v="0.08015820698747528"/>
        <n v="0.07991504854368932"/>
        <n v="0.07984956452889945"/>
        <n v="0.07868983957219251"/>
        <n v="0.07751257751257751"/>
        <n v="0.07686799501867995"/>
        <n v="0.0759682224428997"/>
        <n v="0.07584371378910776"/>
        <n v="0.07528048100167359"/>
        <n v="0.07522990210619994"/>
        <n v="0.07412002573292896"/>
        <n v="0.07317073170731707"/>
        <n v="0.0730189022173755"/>
        <n v="0.0729691435768262"/>
        <n v="0.07273980207117016"/>
        <n v="0.07250330687830688"/>
        <n v="0.07212649369512114"/>
        <n v="0.07211677774558099"/>
        <n v="0.07207033280365921"/>
        <n v="0.07198635172059864"/>
        <n v="0.07195653727929087"/>
        <n v="0.07172350922350923"/>
        <n v="0.07055421038471886"/>
        <n v="0.06931145941330731"/>
        <n v="0.06461481657304112"/>
        <n v="0.06426512233079062"/>
        <n v="0.06374976419543482"/>
        <n v="0.06260312635692575"/>
        <n v="0.06246991874522239"/>
        <n v="0.05941358024691358"/>
        <n v="0.058563792702765516"/>
        <n v="0.0540810953133228"/>
        <n v="1.8129251700680271"/>
        <n v="0.8660194174757282"/>
        <n v="0.703875968992248"/>
        <n v="0.6508215962441315"/>
        <n v="0.3795585412667946"/>
        <n v="0.32349397590361445"/>
        <n v="0.31965192168237855"/>
        <n v="0.3170558375634518"/>
        <n v="0.30126002290950743"/>
        <n v="0.2971351835273053"/>
        <n v="0.28696581196581195"/>
        <n v="0.28245270711024134"/>
        <n v="0.28045655718611695"/>
        <n v="0.26876680752977333"/>
        <n v="0.2553704767375072"/>
        <n v="0.2361677744671098"/>
        <n v="0.23101532992668297"/>
        <n v="0.22157421618066214"/>
        <n v="0.21826126954921804"/>
        <n v="0.21208106001558846"/>
        <n v="0.20675990675990677"/>
        <n v="0.20357370772176134"/>
        <n v="0.2023049153013052"/>
        <n v="0.19864505202032423"/>
        <n v="0.19310344827586207"/>
        <n v="0.19156491900087783"/>
        <n v="0.18433235867446393"/>
        <n v="0.17057291666666666"/>
        <n v="0.16843866371633656"/>
        <n v="0.1650782845473111"/>
        <n v="0.15283323095823095"/>
        <n v="0.15105033277870217"/>
        <n v="0.1441326530612245"/>
        <n v="0.14220299534507186"/>
        <n v="0.1366773270493183"/>
        <n v="0.13493953401503478"/>
        <n v="0.13387048227640017"/>
        <n v="0.13106060606060607"/>
        <n v="0.12896028558679162"/>
        <n v="0.12575841147269717"/>
        <n v="0.12277759141227776"/>
        <n v="0.12131237937689551"/>
        <n v="0.11990720603160794"/>
        <n v="0.11861662987490802"/>
        <n v="0.11619462599854757"/>
        <n v="0.11571269132653061"/>
        <n v="0.11307081114118571"/>
        <n v="0.1123234916559692"/>
        <n v="0.10977802753582468"/>
        <n v="0.1071650124069479"/>
        <n v="0.10297222222222223"/>
        <n v="0.10034235916588857"/>
        <n v="0.0998294634658271"/>
        <n v="0.09859917557465242"/>
        <n v="0.09529073623701083"/>
        <n v="0.09441329595514618"/>
        <n v="0.09272608125819135"/>
        <n v="0.09136587839395197"/>
        <n v="0.08860696018453515"/>
        <n v="0.08775227542540562"/>
        <n v="0.08766860908662977"/>
        <n v="0.08573426573426574"/>
        <n v="0.08571840946813884"/>
        <n v="0.08558620689655172"/>
        <n v="0.08406269423958876"/>
        <n v="0.083921940869371"/>
        <n v="0.08283535957139913"/>
        <n v="0.08180809761508596"/>
        <n v="0.08056526806526806"/>
        <n v="0.07753334834947569"/>
        <n v="0.07724955215653852"/>
        <n v="0.07652353548767891"/>
        <n v="0.07082218193329304"/>
        <n v="0.06810880648089951"/>
        <n v="0.06723439899483456"/>
        <n v="0.06380962272479422"/>
        <n v="0.057655717106444085"/>
        <n v="0.05733257075899396"/>
        <n v="0.05641640042598509"/>
        <n v="0.7168674698795181"/>
        <n v="0.5377358490566038"/>
        <n v="0.5338983050847458"/>
        <n v="0.3566666666666667"/>
        <n v="0.2919973544973545"/>
        <n v="0.2570145903479237"/>
        <n v="0.25279701651571657"/>
        <n v="0.24349030470914126"/>
        <n v="0.2316508937960042"/>
        <n v="0.20868152274837512"/>
        <n v="0.2015852613538989"/>
        <n v="0.1984732824427481"/>
        <n v="0.1908838162130524"/>
        <n v="0.18632075471698112"/>
        <n v="0.17801355732390214"/>
        <n v="0.17441662408448305"/>
        <n v="0.17291569632044715"/>
        <n v="0.16888537906137185"/>
        <n v="0.1687314492192541"/>
        <n v="0.16744313510550835"/>
        <n v="0.16683616863905326"/>
        <n v="0.16540727459016394"/>
        <n v="0.16065573770491803"/>
        <n v="0.15405989502933004"/>
        <n v="0.14348370927318296"/>
        <n v="0.14320716458262928"/>
        <n v="0.1431621431913898"/>
        <n v="0.14276618001546368"/>
        <n v="0.14265722032712325"/>
        <n v="0.13989473684210527"/>
        <n v="0.13614307931570763"/>
        <n v="0.13599052880820836"/>
        <n v="0.13331166419019316"/>
        <n v="0.129425"/>
        <n v="0.1253773178094006"/>
        <n v="0.11792317271769326"/>
        <n v="0.11508145034156594"/>
        <n v="0.11465952405480581"/>
        <n v="0.11369088028965829"/>
        <n v="0.11238095238095239"/>
        <n v="0.11114018842096787"/>
        <n v="0.10768685795253277"/>
        <n v="0.10617801791554102"/>
        <n v="0.1043848167539267"/>
        <n v="0.10339256865912763"/>
        <n v="0.10005698005698006"/>
        <n v="0.09925521164714249"/>
        <n v="0.09855810008481765"/>
        <n v="0.09700127266942411"/>
        <n v="0.09342105263157895"/>
        <n v="0.09113781063873486"/>
        <n v="0.09075975359342915"/>
        <n v="0.09060681629260182"/>
        <n v="0.08773344081687491"/>
        <n v="0.0868975392847722"/>
        <n v="0.0862935055615357"/>
        <n v="0.0837269214255045"/>
        <n v="0.08353995803929049"/>
        <n v="0.08275316455696202"/>
        <n v="0.0820754716981132"/>
        <n v="0.08117752007136485"/>
        <n v="0.08086283185840708"/>
        <n v="0.07884959924563885"/>
        <n v="0.07729142185663924"/>
        <n v="0.07609768130241737"/>
        <n v="0.07349527665317139"/>
        <n v="0.07257936507936508"/>
        <n v="0.07113374430447601"/>
        <n v="0.0702720207253886"/>
        <n v="0.06865500345776378"/>
        <n v="0.06488452065616432"/>
        <n v="0.0639479340816814"/>
        <n v="0.062150491965739366"/>
        <n v="0.062129685107516146"/>
        <n v="0.059496567505720827"/>
        <n v="0.05938782489740082"/>
        <n v="0.05824332140121614"/>
        <n v="0.05665329848594088"/>
        <n v="0.0525515864211227"/>
        <n v="0.5019230769230769"/>
        <n v="0.48518407662376534"/>
        <n v="0.36965174129353234"/>
        <n v="0.3361801242236025"/>
        <n v="0.2586998498176357"/>
        <n v="0.25062082139446035"/>
        <n v="0.23673521198273673"/>
        <n v="0.21840570317563188"/>
        <n v="0.21636759108210984"/>
        <n v="0.1948460706206354"/>
        <n v="0.16769515581610614"/>
        <n v="0.1651029871670441"/>
        <n v="0.1611822059719683"/>
        <n v="0.15355188488042157"/>
        <n v="0.15339966832504145"/>
        <n v="0.13707250341997265"/>
        <n v="0.13517919809886983"/>
        <n v="0.13498547567175018"/>
        <n v="0.13351302785265048"/>
        <n v="0.12577012959422137"/>
        <n v="0.12490884163239112"/>
        <n v="0.123309241094476"/>
        <n v="0.1199202926956749"/>
        <n v="0.11489268506351293"/>
        <n v="0.10793717277486911"/>
        <n v="0.10340359564080613"/>
        <n v="0.09957813481734135"/>
        <n v="0.09806810740013097"/>
        <n v="0.09770043194926468"/>
        <n v="0.09422796795338674"/>
        <n v="0.09229898074745187"/>
        <n v="0.09023070704558174"/>
        <n v="0.0897308075772682"/>
        <n v="0.08957765667574932"/>
        <n v="0.08837126600284495"/>
        <n v="0.08653780942692438"/>
        <n v="0.08552069691966065"/>
        <n v="0.08494623655913978"/>
        <n v="0.08420361247947455"/>
        <n v="0.08327485380116958"/>
        <n v="0.0758685783630725"/>
        <n v="0.07407134976094153"/>
        <n v="0.07370786516853933"/>
        <n v="0.07200011987532966"/>
        <n v="0.0715016859344894"/>
        <n v="0.06943808797355708"/>
        <n v="0.06800325430032543"/>
        <n v="0.06710386857445681"/>
        <n v="0.06561709305594603"/>
        <n v="0.06551582126432837"/>
        <n v="0.06545578797877225"/>
        <n v="0.06371362048894062"/>
        <n v="0.06311855127395241"/>
        <n v="0.06246732310909724"/>
        <n v="0.059928644240570844"/>
        <n v="0.0583167660702452"/>
        <n v="0.05793648844463001"/>
        <n v="0.05590932246561386"/>
        <n v="0.05553149420958479"/>
        <m/>
      </sharedItems>
    </cacheField>
    <cacheField name="Post_Date_Num" numFmtId="164">
      <sharedItems containsDate="1" containsString="0" containsBlank="1">
        <d v="2025-04-02T00:00:00Z"/>
        <d v="2025-05-13T00:00:00Z"/>
        <d v="2025-02-02T00:00:00Z"/>
        <d v="2025-02-10T00:00:00Z"/>
        <d v="2025-04-06T00:00:00Z"/>
        <d v="2024-10-11T00:00:00Z"/>
        <d v="2024-10-21T00:00:00Z"/>
        <d v="2024-11-25T00:00:00Z"/>
        <d v="2024-07-31T00:00:00Z"/>
        <d v="2025-03-04T00:00:00Z"/>
        <d v="2025-04-22T00:00:00Z"/>
        <d v="2024-06-11T00:00:00Z"/>
        <d v="2024-07-07T00:00:00Z"/>
        <d v="2024-06-19T00:00:00Z"/>
        <d v="2024-10-31T00:00:00Z"/>
        <d v="2025-01-06T00:00:00Z"/>
        <d v="2025-01-18T00:00:00Z"/>
        <d v="2024-08-05T00:00:00Z"/>
        <d v="2025-03-23T00:00:00Z"/>
        <d v="2025-04-28T00:00:00Z"/>
        <d v="2025-01-03T00:00:00Z"/>
        <d v="2024-07-15T00:00:00Z"/>
        <d v="2025-02-16T00:00:00Z"/>
        <d v="2024-08-26T00:00:00Z"/>
        <d v="2024-06-22T00:00:00Z"/>
        <d v="2024-08-19T00:00:00Z"/>
        <d v="2024-12-18T00:00:00Z"/>
        <d v="2024-07-21T00:00:00Z"/>
        <d v="2024-12-22T00:00:00Z"/>
        <d v="2024-08-21T00:00:00Z"/>
        <d v="2025-05-14T00:00:00Z"/>
        <d v="2024-11-17T00:00:00Z"/>
        <d v="2025-01-12T00:00:00Z"/>
        <d v="2025-04-03T00:00:00Z"/>
        <d v="2024-08-27T00:00:00Z"/>
        <d v="2024-10-08T00:00:00Z"/>
        <d v="2024-10-22T00:00:00Z"/>
        <d v="2025-05-05T00:00:00Z"/>
        <d v="2024-06-17T00:00:00Z"/>
        <d v="2024-08-30T00:00:00Z"/>
        <d v="2024-12-09T00:00:00Z"/>
        <d v="2025-04-01T00:00:00Z"/>
        <d v="2024-08-24T00:00:00Z"/>
        <d v="2025-05-01T00:00:00Z"/>
        <d v="2024-06-02T00:00:00Z"/>
        <d v="2024-08-17T00:00:00Z"/>
        <d v="2025-02-27T00:00:00Z"/>
        <d v="2024-11-04T00:00:00Z"/>
        <d v="2025-03-24T00:00:00Z"/>
        <d v="2024-06-13T00:00:00Z"/>
        <d v="2024-11-06T00:00:00Z"/>
        <d v="2024-06-01T00:00:00Z"/>
        <d v="2024-11-01T00:00:00Z"/>
        <d v="2024-11-12T00:00:00Z"/>
        <d v="2024-11-28T00:00:00Z"/>
        <d v="2025-03-08T00:00:00Z"/>
        <d v="2024-08-14T00:00:00Z"/>
        <d v="2025-05-06T00:00:00Z"/>
        <d v="2025-01-23T00:00:00Z"/>
        <d v="2025-03-11T00:00:00Z"/>
        <d v="2025-02-06T00:00:00Z"/>
        <d v="2025-03-26T00:00:00Z"/>
        <d v="2025-01-27T00:00:00Z"/>
        <d v="2024-10-18T00:00:00Z"/>
        <d v="2025-03-29T00:00:00Z"/>
        <d v="2024-12-03T00:00:00Z"/>
        <d v="2025-04-07T00:00:00Z"/>
        <d v="2024-10-24T00:00:00Z"/>
        <d v="2024-06-20T00:00:00Z"/>
        <d v="2025-04-15T00:00:00Z"/>
        <d v="2024-11-07T00:00:00Z"/>
        <d v="2025-01-17T00:00:00Z"/>
        <d v="2024-12-23T00:00:00Z"/>
        <d v="2024-07-29T00:00:00Z"/>
        <d v="2024-10-09T00:00:00Z"/>
        <d v="2025-02-07T00:00:00Z"/>
        <d v="2024-08-15T00:00:00Z"/>
        <d v="2025-01-01T00:00:00Z"/>
        <d v="2024-12-17T00:00:00Z"/>
        <d v="2024-12-16T00:00:00Z"/>
        <d v="2024-12-11T00:00:00Z"/>
        <d v="2024-08-20T00:00:00Z"/>
        <d v="2024-08-07T00:00:00Z"/>
        <d v="2024-06-14T00:00:00Z"/>
        <d v="2025-04-08T00:00:00Z"/>
        <d v="2024-11-05T00:00:00Z"/>
        <d v="2024-12-14T00:00:00Z"/>
        <d v="2025-01-31T00:00:00Z"/>
        <d v="2024-10-17T00:00:00Z"/>
        <d v="2024-07-11T00:00:00Z"/>
        <d v="2024-12-08T00:00:00Z"/>
        <d v="2025-04-19T00:00:00Z"/>
        <d v="2025-01-28T00:00:00Z"/>
        <d v="2024-08-12T00:00:00Z"/>
        <d v="2024-11-29T00:00:00Z"/>
        <d v="2025-03-27T00:00:00Z"/>
        <d v="2024-07-03T00:00:00Z"/>
        <d v="2024-12-19T00:00:00Z"/>
        <d v="2024-08-01T00:00:00Z"/>
        <d v="2025-03-28T00:00:00Z"/>
        <d v="2024-11-30T00:00:00Z"/>
        <d v="2024-08-11T00:00:00Z"/>
        <d v="2024-06-12T00:00:00Z"/>
        <d v="2024-07-26T00:00:00Z"/>
        <d v="2024-10-03T00:00:00Z"/>
        <d v="2024-06-23T00:00:00Z"/>
        <d v="2025-01-11T00:00:00Z"/>
        <d v="2024-10-19T00:00:00Z"/>
        <d v="2024-07-10T00:00:00Z"/>
        <d v="2025-02-12T00:00:00Z"/>
        <d v="2024-08-13T00:00:00Z"/>
        <d v="2025-02-04T00:00:00Z"/>
        <d v="2024-07-24T00:00:00Z"/>
        <d v="2025-04-13T00:00:00Z"/>
        <d v="2024-12-20T00:00:00Z"/>
        <d v="2024-10-27T00:00:00Z"/>
        <d v="2024-07-01T00:00:00Z"/>
        <d v="2024-10-02T00:00:00Z"/>
        <d v="2025-01-04T00:00:00Z"/>
        <d v="2024-06-03T00:00:00Z"/>
        <d v="2024-11-08T00:00:00Z"/>
        <d v="2024-09-09T00:00:00Z"/>
        <d v="2025-02-25T00:00:00Z"/>
        <d v="2024-11-21T00:00:00Z"/>
        <d v="2025-04-29T00:00:00Z"/>
        <d v="2024-11-22T00:00:00Z"/>
        <d v="2025-01-30T00:00:00Z"/>
        <d v="2024-09-18T00:00:00Z"/>
        <d v="2025-02-20T00:00:00Z"/>
        <d v="2024-12-24T00:00:00Z"/>
        <d v="2024-08-31T00:00:00Z"/>
        <d v="2024-06-06T00:00:00Z"/>
        <d v="2024-06-07T00:00:00Z"/>
        <d v="2024-09-14T00:00:00Z"/>
        <d v="2024-07-18T00:00:00Z"/>
        <d v="2024-10-05T00:00:00Z"/>
        <d v="2025-05-02T00:00:00Z"/>
        <d v="2025-01-10T00:00:00Z"/>
        <d v="2024-08-08T00:00:00Z"/>
        <d v="2025-02-24T00:00:00Z"/>
        <d v="2024-12-05T00:00:00Z"/>
        <d v="2024-12-29T00:00:00Z"/>
        <d v="2024-09-05T00:00:00Z"/>
        <d v="2024-09-08T00:00:00Z"/>
        <d v="2025-03-07T00:00:00Z"/>
        <d v="2024-07-28T00:00:00Z"/>
        <d v="2025-01-14T00:00:00Z"/>
        <d v="2024-11-14T00:00:00Z"/>
        <d v="2025-02-19T00:00:00Z"/>
        <d v="2024-09-17T00:00:00Z"/>
        <d v="2024-06-10T00:00:00Z"/>
        <d v="2024-11-26T00:00:00Z"/>
        <d v="2024-06-24T00:00:00Z"/>
        <d v="2025-04-24T00:00:00Z"/>
        <d v="2024-09-10T00:00:00Z"/>
        <d v="2025-03-25T00:00:00Z"/>
        <d v="2024-09-11T00:00:00Z"/>
        <d v="2025-03-02T00:00:00Z"/>
        <d v="2025-03-06T00:00:00Z"/>
        <d v="2025-01-15T00:00:00Z"/>
        <d v="2024-08-03T00:00:00Z"/>
        <d v="2025-03-19T00:00:00Z"/>
        <d v="2024-06-16T00:00:00Z"/>
        <d v="2024-07-16T00:00:00Z"/>
        <d v="2024-10-04T00:00:00Z"/>
        <d v="2025-05-11T00:00:00Z"/>
        <d v="2025-04-10T00:00:00Z"/>
        <d v="2025-02-11T00:00:00Z"/>
        <d v="2025-05-09T00:00:00Z"/>
        <d v="2024-10-25T00:00:00Z"/>
        <d v="2025-03-21T00:00:00Z"/>
        <d v="2025-03-05T00:00:00Z"/>
        <d v="2024-06-05T00:00:00Z"/>
        <d v="2024-09-25T00:00:00Z"/>
        <d v="2025-03-18T00:00:00Z"/>
        <d v="2025-03-13T00:00:00Z"/>
        <d v="2024-10-15T00:00:00Z"/>
        <d v="2024-10-28T00:00:00Z"/>
        <d v="2025-02-17T00:00:00Z"/>
        <d v="2025-03-03T00:00:00Z"/>
        <d v="2024-09-02T00:00:00Z"/>
        <d v="2024-12-21T00:00:00Z"/>
        <d v="2024-07-23T00:00:00Z"/>
        <d v="2024-07-13T00:00:00Z"/>
        <d v="2024-12-31T00:00:00Z"/>
        <d v="2024-10-12T00:00:00Z"/>
        <d v="2024-10-29T00:00:00Z"/>
        <d v="2025-04-05T00:00:00Z"/>
        <d v="2024-09-29T00:00:00Z"/>
        <d v="2024-11-18T00:00:00Z"/>
        <d v="2024-11-23T00:00:00Z"/>
        <d v="2024-07-02T00:00:00Z"/>
        <d v="2025-04-17T00:00:00Z"/>
        <d v="2024-06-26T00:00:00Z"/>
        <d v="2024-08-22T00:00:00Z"/>
        <d v="2025-03-22T00:00:00Z"/>
        <d v="2024-06-21T00:00:00Z"/>
        <d v="2025-05-12T00:00:00Z"/>
        <m/>
      </sharedItems>
    </cacheField>
    <cacheField name="Total_Engagement &#10;" numFmtId="10">
      <sharedItems containsString="0" containsBlank="1" containsNumber="1" containsInteger="1">
        <n v="1371.0"/>
        <n v="1352.0"/>
        <n v="1165.0"/>
        <n v="869.0"/>
        <n v="5245.0"/>
        <n v="1514.0"/>
        <n v="2009.0"/>
        <n v="2766.0"/>
        <n v="3139.0"/>
        <n v="1785.0"/>
        <n v="5624.0"/>
        <n v="2812.0"/>
        <n v="5297.0"/>
        <n v="5180.0"/>
        <n v="4230.0"/>
        <n v="4299.0"/>
        <n v="5367.0"/>
        <n v="2917.0"/>
        <n v="4984.0"/>
        <n v="2634.0"/>
        <n v="1635.0"/>
        <n v="2854.0"/>
        <n v="4928.0"/>
        <n v="3215.0"/>
        <n v="4229.0"/>
        <n v="779.0"/>
        <n v="1627.0"/>
        <n v="3811.0"/>
        <n v="3009.0"/>
        <n v="4513.0"/>
        <n v="2158.0"/>
        <n v="3601.0"/>
        <n v="1522.0"/>
        <n v="5057.0"/>
        <n v="4519.0"/>
        <n v="4234.0"/>
        <n v="2830.0"/>
        <n v="4775.0"/>
        <n v="5226.0"/>
        <n v="5062.0"/>
        <n v="4043.0"/>
        <n v="5022.0"/>
        <n v="4996.0"/>
        <n v="3034.0"/>
        <n v="4160.0"/>
        <n v="4735.0"/>
        <n v="3767.0"/>
        <n v="2458.0"/>
        <n v="3542.0"/>
        <n v="2017.0"/>
        <n v="5472.0"/>
        <n v="3951.0"/>
        <n v="2943.0"/>
        <n v="3975.0"/>
        <n v="2469.0"/>
        <n v="1836.0"/>
        <n v="4189.0"/>
        <n v="4858.0"/>
        <n v="3804.0"/>
        <n v="3226.0"/>
        <n v="3214.0"/>
        <n v="2781.0"/>
        <n v="3800.0"/>
        <n v="4385.0"/>
        <n v="4370.0"/>
        <n v="5973.0"/>
        <n v="4853.0"/>
        <n v="5190.0"/>
        <n v="5033.0"/>
        <n v="2675.0"/>
        <n v="2098.0"/>
        <n v="4546.0"/>
        <n v="4900.0"/>
        <n v="5038.0"/>
        <n v="5407.0"/>
        <n v="5767.0"/>
        <n v="4413.0"/>
        <n v="4620.0"/>
        <n v="5040.0"/>
        <n v="4108.0"/>
        <n v="1066.0"/>
        <n v="892.0"/>
        <n v="908.0"/>
        <n v="1109.0"/>
        <n v="1582.0"/>
        <n v="1611.0"/>
        <n v="2204.0"/>
        <n v="3123.0"/>
        <n v="2104.0"/>
        <n v="3319.0"/>
        <n v="1343.0"/>
        <n v="866.0"/>
        <n v="2408.0"/>
        <n v="3498.0"/>
        <n v="2223.0"/>
        <n v="5152.0"/>
        <n v="5199.0"/>
        <n v="5053.0"/>
        <n v="2847.0"/>
        <n v="2721.0"/>
        <n v="4435.0"/>
        <n v="4466.0"/>
        <n v="4371.0"/>
        <n v="4926.0"/>
        <n v="3024.0"/>
        <n v="4801.0"/>
        <n v="1513.0"/>
        <n v="1179.0"/>
        <n v="3121.0"/>
        <n v="1940.0"/>
        <n v="3981.0"/>
        <n v="2905.0"/>
        <n v="2034.0"/>
        <n v="5621.0"/>
        <n v="1624.0"/>
        <n v="2890.0"/>
        <n v="5782.0"/>
        <n v="5709.0"/>
        <n v="578.0"/>
        <n v="2508.0"/>
        <n v="4758.0"/>
        <n v="2640.0"/>
        <n v="2481.0"/>
        <n v="4030.0"/>
        <n v="2560.0"/>
        <n v="2903.0"/>
        <n v="2590.0"/>
        <n v="525.0"/>
        <n v="3907.0"/>
        <n v="2073.0"/>
        <n v="3707.0"/>
        <n v="1612.0"/>
        <n v="4566.0"/>
        <n v="5645.0"/>
        <n v="4741.0"/>
        <n v="1886.0"/>
        <n v="3964.0"/>
        <n v="3534.0"/>
        <n v="5322.0"/>
        <n v="5401.0"/>
        <n v="1839.0"/>
        <n v="5939.0"/>
        <n v="1241.0"/>
        <n v="5004.0"/>
        <n v="3006.0"/>
        <n v="6030.0"/>
        <n v="5900.0"/>
        <n v="4424.0"/>
        <n v="3098.0"/>
        <n v="5606.0"/>
        <n v="5186.0"/>
        <n v="4922.0"/>
        <n v="3901.0"/>
        <n v="4816.0"/>
        <n v="4915.0"/>
        <n v="3212.0"/>
        <n v="4110.0"/>
        <n v="2119.0"/>
        <n v="1071.0"/>
        <n v="513.0"/>
        <n v="315.0"/>
        <n v="2140.0"/>
        <n v="883.0"/>
        <n v="1832.0"/>
        <n v="2637.0"/>
        <n v="4406.0"/>
        <n v="2697.0"/>
        <n v="1882.0"/>
        <n v="1872.0"/>
        <n v="2609.0"/>
        <n v="2370.0"/>
        <n v="1208.0"/>
        <n v="3072.0"/>
        <n v="2970.0"/>
        <n v="1497.0"/>
        <n v="2615.0"/>
        <n v="4277.0"/>
        <n v="3609.0"/>
        <n v="2583.0"/>
        <n v="735.0"/>
        <n v="3493.0"/>
        <n v="2290.0"/>
        <n v="1695.0"/>
        <n v="4895.0"/>
        <n v="6278.0"/>
        <n v="4893.0"/>
        <n v="5316.0"/>
        <n v="4377.0"/>
        <n v="5169.0"/>
        <n v="2871.0"/>
        <n v="5177.0"/>
        <n v="3489.0"/>
        <n v="2462.0"/>
        <n v="5913.0"/>
        <n v="1113.0"/>
        <n v="5024.0"/>
        <n v="2832.0"/>
        <n v="5521.0"/>
        <n v="1520.0"/>
        <n v="2987.0"/>
        <n v="4785.0"/>
        <n v="2048.0"/>
        <n v="5268.0"/>
        <n v="5304.0"/>
        <n v="3486.0"/>
        <n v="4878.0"/>
        <n v="2414.0"/>
        <n v="1775.0"/>
        <n v="1989.0"/>
        <n v="1308.0"/>
        <n v="1306.0"/>
        <n v="4612.0"/>
        <n v="1443.0"/>
        <n v="2340.0"/>
        <n v="5256.0"/>
        <n v="3661.0"/>
        <n v="1566.0"/>
        <n v="1274.0"/>
        <n v="3655.0"/>
        <n v="4181.0"/>
        <n v="2631.0"/>
        <n v="4936.0"/>
        <n v="2723.0"/>
        <n v="5487.0"/>
        <n v="4340.0"/>
        <n v="4666.0"/>
        <n v="5585.0"/>
        <n v="4284.0"/>
        <n v="3733.0"/>
        <n v="3536.0"/>
        <n v="3473.0"/>
        <n v="3726.0"/>
        <n v="5029.0"/>
        <n v="4737.0"/>
        <n v="522.0"/>
        <n v="1621.0"/>
        <n v="1486.0"/>
        <n v="1732.0"/>
        <n v="6029.0"/>
        <n v="5248.0"/>
        <n v="1865.0"/>
        <n v="2696.0"/>
        <n v="3979.0"/>
        <n v="3962.0"/>
        <n v="4348.0"/>
        <n v="3062.0"/>
        <n v="1587.0"/>
        <n v="6061.0"/>
        <n v="1480.0"/>
        <n v="4509.0"/>
        <n v="4892.0"/>
        <n v="2974.0"/>
        <n v="2229.0"/>
        <n v="3552.0"/>
        <n v="4282.0"/>
        <n v="4777.0"/>
        <n v="3671.0"/>
        <n v="2623.0"/>
        <n v="5154.0"/>
        <n v="4469.0"/>
        <n v="5547.0"/>
        <n v="1797.0"/>
        <n v="3913.0"/>
        <n v="3105.0"/>
        <n v="2282.0"/>
        <n v="4353.0"/>
        <n v="3780.0"/>
        <n v="3419.0"/>
        <n v="497.0"/>
        <n v="3828.0"/>
        <n v="3004.0"/>
        <n v="3476.0"/>
        <n v="5128.0"/>
        <n v="5340.0"/>
        <n v="1688.0"/>
        <n v="3021.0"/>
        <n v="5576.0"/>
        <n v="4805.0"/>
        <n v="2375.0"/>
        <n v="2731.0"/>
        <n v="5851.0"/>
        <n v="4052.0"/>
        <n v="4668.0"/>
        <n v="3818.0"/>
        <n v="6130.0"/>
        <n v="5473.0"/>
        <n v="3597.0"/>
        <n v="5735.0"/>
        <n v="5879.0"/>
        <n v="1760.0"/>
        <n v="2359.0"/>
        <n v="2195.0"/>
        <n v="2949.0"/>
        <m/>
      </sharedItems>
    </cacheField>
    <cacheField name="Period_Type&#10;" numFmtId="0">
      <sharedItems containsBlank="1">
        <s v="Before Campaign"/>
        <s v="During Campaign"/>
        <m/>
      </sharedItems>
    </cacheField>
    <cacheField name="Follower_Growth" numFmtId="0">
      <sharedItems containsString="0" containsBlank="1" containsNumber="1" containsInteger="1">
        <n v="0.0"/>
        <n v="375.0"/>
        <n v="674.0"/>
        <n v="-1097.0"/>
        <n v="17576.0"/>
        <n v="-15044.0"/>
        <n v="2609.0"/>
        <n v="4004.0"/>
        <n v="2554.0"/>
        <n v="-6101.0"/>
        <n v="19832.0"/>
        <n v="-14061.0"/>
        <n v="13735.0"/>
        <n v="141.0"/>
        <n v="-4910.0"/>
        <n v="243.0"/>
        <n v="5736.0"/>
        <n v="-12410.0"/>
        <n v="13721.0"/>
        <n v="-14256.0"/>
        <n v="-6579.0"/>
        <n v="8371.0"/>
        <n v="15701.0"/>
        <n v="-11471.0"/>
        <n v="7898.0"/>
        <n v="-25339.0"/>
        <n v="6770.0"/>
        <n v="16867.0"/>
        <n v="-5545.0"/>
        <n v="11462.0"/>
        <n v="-18490.0"/>
        <n v="12148.0"/>
        <n v="-16124.0"/>
        <n v="29072.0"/>
        <n v="-4243.0"/>
        <n v="-1957.0"/>
        <n v="-9564.0"/>
        <n v="18052.0"/>
        <n v="7586.0"/>
        <n v="-1573.0"/>
        <n v="-9763.0"/>
        <n v="13494.0"/>
        <n v="-39033.0"/>
        <n v="42294.0"/>
        <n v="-22189.0"/>
        <n v="13151.0"/>
        <n v="7521.0"/>
        <n v="-9194.0"/>
        <n v="-16056.0"/>
        <n v="13091.0"/>
        <n v="-18054.0"/>
        <n v="43141.0"/>
        <n v="-19230.0"/>
        <n v="-23909.0"/>
        <n v="12323.0"/>
        <n v="13629.0"/>
        <n v="-18831.0"/>
        <n v="-8017.0"/>
        <n v="31356.0"/>
        <n v="8475.0"/>
        <n v="-13734.0"/>
        <n v="-7073.0"/>
        <n v="25745.0"/>
        <n v="-25073.0"/>
        <n v="-5978.0"/>
        <n v="14168.0"/>
        <n v="8005.0"/>
        <n v="17.0"/>
        <n v="22916.0"/>
        <n v="-15928.0"/>
        <n v="4983.0"/>
        <n v="-2002.0"/>
        <n v="-33129.0"/>
        <n v="-7696.0"/>
        <n v="36278.0"/>
        <n v="10388.0"/>
        <n v="2361.0"/>
        <n v="6893.0"/>
        <n v="6749.0"/>
        <n v="-21691.0"/>
        <n v="7418.0"/>
        <n v="8656.0"/>
        <n v="-10010.0"/>
        <n v="402.0"/>
        <n v="429.0"/>
        <n v="156.0"/>
        <n v="2404.0"/>
        <n v="786.0"/>
        <n v="2572.0"/>
        <n v="2167.0"/>
        <n v="-2288.0"/>
        <n v="3933.0"/>
        <n v="-6247.0"/>
        <n v="-1621.0"/>
        <n v="5695.0"/>
        <n v="3734.0"/>
        <n v="-3858.0"/>
        <n v="13209.0"/>
        <n v="355.0"/>
        <n v="54.0"/>
        <n v="-9684.0"/>
        <n v="58.0"/>
        <n v="8521.0"/>
        <n v="552.0"/>
        <n v="117.0"/>
        <n v="3166.0"/>
        <n v="-9475.0"/>
        <n v="9702.0"/>
        <n v="-17470.0"/>
        <n v="-1118.0"/>
        <n v="11582.0"/>
        <n v="-6261.0"/>
        <n v="13949.0"/>
        <n v="-6893.0"/>
        <n v="-5048.0"/>
        <n v="25566.0"/>
        <n v="-27654.0"/>
        <n v="9467.0"/>
        <n v="21261.0"/>
        <n v="997.0"/>
        <n v="-39578.0"/>
        <n v="15312.0"/>
        <n v="19620.0"/>
        <n v="-17581.0"/>
        <n v="-1011.0"/>
        <n v="13323.0"/>
        <n v="-11441.0"/>
        <n v="2806.0"/>
        <n v="-2750.0"/>
        <n v="-17535.0"/>
        <n v="30715.0"/>
        <n v="-16710.0"/>
        <n v="17424.0"/>
        <n v="-19954.0"/>
        <n v="29318.0"/>
        <n v="11195.0"/>
        <n v="-7049.0"/>
        <n v="-30067.0"/>
        <n v="10797.0"/>
        <n v="12862.0"/>
        <n v="-3517.0"/>
        <n v="20993.0"/>
        <n v="936.0"/>
        <n v="-40824.0"/>
        <n v="48632.0"/>
        <n v="-55504.0"/>
        <n v="45763.0"/>
        <n v="-24060.0"/>
        <n v="36897.0"/>
        <n v="-541.0"/>
        <n v="-17780.0"/>
        <n v="-14450.0"/>
        <n v="32930.0"/>
        <n v="-4775.0"/>
        <n v="1196.0"/>
        <n v="-11927.0"/>
        <n v="14432.0"/>
        <n v="5559.0"/>
        <n v="-22073.0"/>
        <n v="16639.0"/>
        <n v="-34573.0"/>
        <n v="-1037.0"/>
        <n v="468.0"/>
        <n v="4746.0"/>
        <n v="-2936.0"/>
        <n v="3860.0"/>
        <n v="4822.0"/>
        <n v="-722.0"/>
        <n v="8314.0"/>
        <n v="-5858.0"/>
        <n v="-3826.0"/>
        <n v="7.0"/>
        <n v="3794.0"/>
        <n v="-112.0"/>
        <n v="-6343.0"/>
        <n v="10644.0"/>
        <n v="-382.0"/>
        <n v="-7773.0"/>
        <n v="6090.0"/>
        <n v="10163.0"/>
        <n v="-4171.0"/>
        <n v="-5389.0"/>
        <n v="-11699.0"/>
        <n v="18467.0"/>
        <n v="-6792.0"/>
        <n v="-3783.0"/>
        <n v="21850.0"/>
        <n v="9793.0"/>
        <n v="-9151.0"/>
        <n v="3704.0"/>
        <n v="-6388.0"/>
        <n v="6221.0"/>
        <n v="-16505.0"/>
        <n v="18449.0"/>
        <n v="-12352.0"/>
        <n v="-7027.0"/>
        <n v="30375.0"/>
        <n v="-41147.0"/>
        <n v="34164.0"/>
        <n v="-18756.0"/>
        <n v="24431.0"/>
        <n v="-35419.0"/>
        <n v="13523.0"/>
        <n v="18270.0"/>
        <n v="-26297.0"/>
        <n v="32421.0"/>
        <n v="932.0"/>
        <n v="-18212.0"/>
        <n v="15015.0"/>
        <n v="-24574.0"/>
        <n v="-6262.0"/>
        <n v="3021.0"/>
        <n v="-7395.0"/>
        <n v="-151.0"/>
        <n v="38484.0"/>
        <n v="-36617.0"/>
        <n v="11188.0"/>
        <n v="35504.0"/>
        <n v="-19022.0"/>
        <n v="-24807.0"/>
        <n v="-3902.0"/>
        <n v="29782.0"/>
        <n v="8052.0"/>
        <n v="-19617.0"/>
        <n v="31209.0"/>
        <n v="-28111.0"/>
        <n v="38655.0"/>
        <n v="-19491.0"/>
        <n v="6224.0"/>
        <n v="6179.0"/>
        <n v="17500.0"/>
        <n v="-18725.0"/>
        <n v="-24623.0"/>
        <n v="17851.0"/>
        <n v="-660.0"/>
        <n v="-1036.0"/>
        <n v="5643.0"/>
        <n v="24044.0"/>
        <n v="1758.0"/>
        <n v="391.0"/>
        <n v="1562.0"/>
        <n v="17877.0"/>
        <n v="-2112.0"/>
        <n v="-13082.0"/>
        <n v="4107.0"/>
        <n v="6379.0"/>
        <n v="1568.0"/>
        <n v="5638.0"/>
        <n v="-6910.0"/>
        <n v="-8562.0"/>
        <n v="29416.0"/>
        <n v="-29608.0"/>
        <n v="22598.0"/>
        <n v="3490.0"/>
        <n v="-14217.0"/>
        <n v="-4958.0"/>
        <n v="11220.0"/>
        <n v="5984.0"/>
        <n v="5018.0"/>
        <n v="-8192.0"/>
        <n v="-7743.0"/>
        <n v="24927.0"/>
        <n v="-4703.0"/>
        <n v="12715.0"/>
        <n v="-37392.0"/>
        <n v="21155.0"/>
        <n v="-7172.0"/>
        <n v="-7814.0"/>
        <n v="23246.0"/>
        <n v="-6270.0"/>
        <n v="-3738.0"/>
        <n v="-32332.0"/>
        <n v="38466.0"/>
        <n v="-9020.0"/>
        <n v="6131.0"/>
        <n v="19776.0"/>
        <n v="3058.0"/>
        <n v="-42368.0"/>
        <n v="18999.0"/>
        <n v="34727.0"/>
        <n v="-8374.0"/>
        <n v="-34390.0"/>
        <n v="6383.0"/>
        <n v="47116.0"/>
        <n v="-26253.0"/>
        <n v="11211.0"/>
        <n v="-12649.0"/>
        <n v="34758.0"/>
        <n v="-7022.0"/>
        <n v="-29663.0"/>
        <n v="35171.0"/>
        <n v="6476.0"/>
        <n v="-68083.0"/>
        <n v="10436.0"/>
        <n v="-1354.0"/>
        <n v="13536.0"/>
        <m/>
      </sharedItems>
    </cacheField>
    <cacheField name="Week &#10;" numFmtId="0">
      <sharedItems containsString="0" containsBlank="1" containsNumber="1" containsInteger="1">
        <n v="14.0"/>
        <n v="20.0"/>
        <n v="5.0"/>
        <n v="7.0"/>
        <n v="41.0"/>
        <n v="43.0"/>
        <n v="48.0"/>
        <n v="31.0"/>
        <n v="10.0"/>
        <n v="17.0"/>
        <n v="24.0"/>
        <n v="27.0"/>
        <n v="25.0"/>
        <n v="44.0"/>
        <n v="2.0"/>
        <n v="3.0"/>
        <n v="32.0"/>
        <n v="12.0"/>
        <n v="18.0"/>
        <n v="1.0"/>
        <n v="29.0"/>
        <n v="35.0"/>
        <n v="34.0"/>
        <n v="51.0"/>
        <n v="46.0"/>
        <n v="19.0"/>
        <n v="50.0"/>
        <n v="22.0"/>
        <n v="33.0"/>
        <n v="9.0"/>
        <n v="45.0"/>
        <n v="13.0"/>
        <n v="4.0"/>
        <n v="11.0"/>
        <n v="6.0"/>
        <n v="42.0"/>
        <n v="49.0"/>
        <n v="15.0"/>
        <n v="16.0"/>
        <n v="52.0"/>
        <n v="28.0"/>
        <n v="30.0"/>
        <n v="40.0"/>
        <n v="23.0"/>
        <n v="37.0"/>
        <n v="47.0"/>
        <n v="38.0"/>
        <n v="8.0"/>
        <n v="36.0"/>
        <n v="26.0"/>
        <n v="39.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Avg_Engagement_by_Platform" cacheId="0" dataCaption="" rowGrandTotals="0" compact="0" compactData="0">
  <location ref="A1:B5" firstHeaderRow="0" firstDataRow="1" firstDataCol="0"/>
  <pivotFields>
    <pivotField name="Week_Start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latform" axis="axisRow" compact="0" outline="0" multipleItemSelectionAllowed="1" showAll="0" sortType="descending">
      <items>
        <item x="0"/>
        <item x="1"/>
        <item x="2"/>
        <item x="3"/>
        <item h="1" x="4"/>
        <item t="default"/>
      </items>
      <autoSortScope>
        <pivotArea>
          <references>
            <reference field="4294967294">
              <x v="0"/>
            </reference>
          </references>
        </pivotArea>
      </autoSortScope>
    </pivotField>
    <pivotField name="New_Follow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Unfollow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Total_Follow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Engagement_R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Ad_Spe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s>
  <rowFields>
    <field x="1"/>
  </rowFields>
  <dataFields>
    <dataField name="AVERAGE of Engagement_Rate" fld="5" subtotal="average" baseField="0"/>
  </dataFields>
</pivotTableDefinition>
</file>

<file path=xl/pivotTables/pivotTable2.xml><?xml version="1.0" encoding="utf-8"?>
<pivotTableDefinition xmlns="http://schemas.openxmlformats.org/spreadsheetml/2006/main" name="Pivot_Content_Platform" cacheId="1" dataCaption="" compact="0" compactData="0">
  <location ref="A1:S11" firstHeaderRow="0" firstDataRow="2" firstDataCol="1"/>
  <pivotFields>
    <pivotField name="Pos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latform_Clean" axis="axisCol" compact="0" outline="0" multipleItemSelectionAllowed="1" showAll="0" sortType="ascending">
      <items>
        <item x="4"/>
        <item x="0"/>
        <item x="1"/>
        <item x="2"/>
        <item x="3"/>
        <item t="default"/>
      </items>
    </pivotField>
    <pivotField name="Da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Campaign_Name" compact="0" numFmtId="164" outline="0" multipleItemSelectionAllowed="1" showAll="0">
      <items>
        <item x="0"/>
        <item x="1"/>
        <item x="2"/>
        <item x="3"/>
        <item x="4"/>
        <item t="default"/>
      </items>
    </pivotField>
    <pivotField name="Content Type" axis="axisRow" compact="0" outline="0" multipleItemSelectionAllowed="1" showAll="0" sortType="ascending">
      <items>
        <item x="6"/>
        <item x="4"/>
        <item x="1"/>
        <item x="5"/>
        <item x="2"/>
        <item x="3"/>
        <item x="0"/>
        <item t="default"/>
      </items>
    </pivotField>
    <pivotField name="Post 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Lik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Shar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Comment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Impression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Reach"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Hashtag_Clean_1" compact="0" outline="0" multipleItemSelectionAllowed="1" showAll="0">
      <items>
        <item x="0"/>
        <item x="1"/>
        <item x="2"/>
        <item x="3"/>
        <item t="default"/>
      </items>
    </pivotField>
    <pivotField name="hashtag_clean2" compact="0" outline="0" multipleItemSelectionAllowed="1" showAll="0">
      <items>
        <item x="0"/>
        <item x="1"/>
        <item x="2"/>
        <item x="3"/>
        <item x="4"/>
        <item x="5"/>
        <item x="6"/>
        <item t="default"/>
      </items>
    </pivotField>
    <pivotField name="hashtag_clean3" compact="0" outline="0" multipleItemSelectionAllowed="1" showAll="0">
      <items>
        <item x="0"/>
        <item x="1"/>
        <item x="2"/>
        <item x="3"/>
        <item x="4"/>
        <item t="default"/>
      </items>
    </pivotField>
    <pivotField name="Engagement_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s>
  <rowFields>
    <field x="4"/>
  </rowFields>
  <colFields>
    <field x="1"/>
    <field x="-2"/>
  </colFields>
  <dataFields>
    <dataField name="Total Likes" fld="6" baseField="0"/>
    <dataField name="Total shares" fld="7" baseField="0"/>
    <dataField name="Total Comments" fld="8" baseField="0"/>
  </dataFields>
</pivotTableDefinition>
</file>

<file path=xl/pivotTables/pivotTable3.xml><?xml version="1.0" encoding="utf-8"?>
<pivotTableDefinition xmlns="http://schemas.openxmlformats.org/spreadsheetml/2006/main" name="Avg_Clicks_by_Hashtag" cacheId="2" dataCaption="" rowGrandTotals="0" compact="0" compactData="0">
  <location ref="A1:B7" firstHeaderRow="0" firstDataRow="1" firstDataCol="0"/>
  <pivotFields>
    <pivotField name="Pos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Click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Hashtag" axis="axisRow" compact="0" outline="0" multipleItemSelectionAllowed="1" showAll="0" sortType="ascending">
      <items>
        <item h="1" x="6"/>
        <item x="4"/>
        <item x="3"/>
        <item x="2"/>
        <item x="1"/>
        <item x="5"/>
        <item x="0"/>
        <item t="default"/>
      </items>
    </pivotField>
  </pivotFields>
  <rowFields>
    <field x="2"/>
  </rowFields>
  <dataFields>
    <dataField name="AVERAGE of Clicks" fld="1" subtotal="average" baseField="0"/>
  </dataFields>
</pivotTableDefinition>
</file>

<file path=xl/pivotTables/pivotTable4.xml><?xml version="1.0" encoding="utf-8"?>
<pivotTableDefinition xmlns="http://schemas.openxmlformats.org/spreadsheetml/2006/main" name="Most frequently used hashtags" cacheId="3" dataCaption="" compact="0" compactData="0">
  <location ref="A1:D8" firstHeaderRow="0" firstDataRow="2" firstDataCol="0"/>
  <pivotFields>
    <pivotField name="Pos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Hashtag" axis="axisRow" compact="0" outline="0" multipleItemSelectionAllowed="1" showAll="0" sortType="ascending">
      <items>
        <item h="1" x="6"/>
        <item x="4"/>
        <item x="3"/>
        <item x="2"/>
        <item x="1"/>
        <item x="5"/>
        <item x="0"/>
        <item t="default"/>
      </items>
    </pivotField>
    <pivotField name="Lik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Comment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s>
  <rowFields>
    <field x="2"/>
  </rowFields>
  <colFields>
    <field x="-2"/>
  </colFields>
  <dataFields>
    <dataField name="COUNTA of Post ID" fld="0" subtotal="count" baseField="0"/>
    <dataField name="AVERAGE of Comments" fld="4" subtotal="average" baseField="0"/>
    <dataField name="AVERAGE of Likes" fld="3" subtotal="average" baseField="0"/>
  </dataFields>
</pivotTableDefinition>
</file>

<file path=xl/pivotTables/pivotTable5.xml><?xml version="1.0" encoding="utf-8"?>
<pivotTableDefinition xmlns="http://schemas.openxmlformats.org/spreadsheetml/2006/main" name="Avg_Growth_by_Platform" cacheId="0" dataCaption="" compact="0" compactData="0">
  <location ref="A1:B6" firstHeaderRow="0" firstDataRow="1" firstDataCol="0"/>
  <pivotFields>
    <pivotField name="Week_Start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latform" axis="axisRow" compact="0" outline="0" multipleItemSelectionAllowed="1" showAll="0" sortType="descending">
      <items>
        <item x="0"/>
        <item x="1"/>
        <item x="2"/>
        <item x="3"/>
        <item h="1" x="4"/>
        <item t="default"/>
      </items>
      <autoSortScope>
        <pivotArea>
          <references>
            <reference field="4294967294">
              <x v="0"/>
            </reference>
          </references>
        </pivotArea>
      </autoSortScope>
    </pivotField>
    <pivotField name="New_Followe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Unfollow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Total_Follow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Engagement_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Ad_Spe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s>
  <rowFields>
    <field x="1"/>
  </rowFields>
  <dataFields>
    <dataField name="AVERAGE of New_Followers" fld="2" subtotal="average" baseField="0"/>
  </dataFields>
</pivotTableDefinition>
</file>

<file path=xl/pivotTables/pivotTable6.xml><?xml version="1.0" encoding="utf-8"?>
<pivotTableDefinition xmlns="http://schemas.openxmlformats.org/spreadsheetml/2006/main" name="Engagement_vs_AdSpend" cacheId="0" dataCaption="" rowGrandTotals="0" compact="0" compactData="0">
  <location ref="A1:C5" firstHeaderRow="0" firstDataRow="2" firstDataCol="0"/>
  <pivotFields>
    <pivotField name="Week_Start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latform" axis="axisRow" compact="0" outline="0" multipleItemSelectionAllowed="1" showAll="0" sortType="ascending">
      <items>
        <item h="1" x="4"/>
        <item x="1"/>
        <item x="0"/>
        <item x="2"/>
        <item x="3"/>
        <item t="default"/>
      </items>
    </pivotField>
    <pivotField name="New_Follow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Unfollow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Total_Follow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Engagement_R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Ad_Spen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s>
  <rowFields>
    <field x="1"/>
  </rowFields>
  <colFields>
    <field x="-2"/>
  </colFields>
  <dataFields>
    <dataField name="AVERAGE of Engagement_Rate" fld="5" subtotal="average" baseField="0"/>
    <dataField name="AVERAGE of Ad_Spend" fld="6" subtotal="average" baseField="0"/>
  </dataFields>
</pivotTableDefinition>
</file>

<file path=xl/pivotTables/pivotTable7.xml><?xml version="1.0" encoding="utf-8"?>
<pivotTableDefinition xmlns="http://schemas.openxmlformats.org/spreadsheetml/2006/main" name="Content_vs_Platform" cacheId="1" dataCaption="" compact="0" compactData="0">
  <location ref="A1:O7" firstHeaderRow="0" firstDataRow="2" firstDataCol="1"/>
  <pivotFields>
    <pivotField name="Pos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latform_Clean" axis="axisRow" compact="0" outline="0" multipleItemSelectionAllowed="1" showAll="0" sortType="ascending">
      <items>
        <item h="1" x="4"/>
        <item x="0"/>
        <item x="1"/>
        <item h="1" x="2"/>
        <item x="3"/>
        <item t="default"/>
      </items>
    </pivotField>
    <pivotField name="Da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Campaign_Name" compact="0" numFmtId="164" outline="0" multipleItemSelectionAllowed="1" showAll="0">
      <items>
        <item x="0"/>
        <item x="1"/>
        <item x="2"/>
        <item x="3"/>
        <item x="4"/>
        <item t="default"/>
      </items>
    </pivotField>
    <pivotField name="Content Type" axis="axisCol" compact="0" outline="0" multipleItemSelectionAllowed="1" showAll="0" sortType="ascending">
      <items>
        <item x="6"/>
        <item x="4"/>
        <item x="1"/>
        <item x="5"/>
        <item x="2"/>
        <item x="3"/>
        <item x="0"/>
        <item t="default"/>
      </items>
    </pivotField>
    <pivotField name="Post 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Lik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Shar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Comment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Impression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Reach"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Hashtag_Clean_1" compact="0" outline="0" multipleItemSelectionAllowed="1" showAll="0">
      <items>
        <item x="0"/>
        <item x="1"/>
        <item x="2"/>
        <item x="3"/>
        <item t="default"/>
      </items>
    </pivotField>
    <pivotField name="hashtag_clean2" compact="0" outline="0" multipleItemSelectionAllowed="1" showAll="0">
      <items>
        <item x="0"/>
        <item x="1"/>
        <item x="2"/>
        <item x="3"/>
        <item x="4"/>
        <item x="5"/>
        <item x="6"/>
        <item t="default"/>
      </items>
    </pivotField>
    <pivotField name="hashtag_clean3" compact="0" outline="0" multipleItemSelectionAllowed="1" showAll="0">
      <items>
        <item x="0"/>
        <item x="1"/>
        <item x="2"/>
        <item x="3"/>
        <item x="4"/>
        <item t="default"/>
      </items>
    </pivotField>
    <pivotField name="Engagement_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s>
  <rowFields>
    <field x="1"/>
  </rowFields>
  <colFields>
    <field x="4"/>
    <field x="-2"/>
  </colFields>
  <dataFields>
    <dataField name="AVERAGE of Likes" fld="6" subtotal="average" baseField="0"/>
    <dataField name="AVERAGE of Comments" fld="8" subtotal="average" baseField="0"/>
  </dataFields>
</pivotTableDefinition>
</file>

<file path=xl/pivotTables/pivotTable8.xml><?xml version="1.0" encoding="utf-8"?>
<pivotTableDefinition xmlns="http://schemas.openxmlformats.org/spreadsheetml/2006/main" name="Campaign_Performance" cacheId="4" dataCaption="" compact="0" compactData="0">
  <location ref="A1:G6" firstHeaderRow="0" firstDataRow="2" firstDataCol="0"/>
  <pivotFields>
    <pivotField name="Pos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latform_Clean" compact="0" outline="0" multipleItemSelectionAllowed="1" showAll="0">
      <items>
        <item x="0"/>
        <item x="1"/>
        <item x="2"/>
        <item x="3"/>
        <item x="4"/>
        <item t="default"/>
      </items>
    </pivotField>
    <pivotField name="Da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Campaign_Name" axis="axisRow" compact="0" numFmtId="164" outline="0" multipleItemSelectionAllowed="1" showAll="0" sortType="ascending">
      <items>
        <item h="1" x="4"/>
        <item x="2"/>
        <item x="1"/>
        <item x="0"/>
        <item x="3"/>
        <item t="default"/>
      </items>
    </pivotField>
    <pivotField name="Content Type" compact="0" outline="0" multipleItemSelectionAllowed="1" showAll="0">
      <items>
        <item x="0"/>
        <item x="1"/>
        <item x="2"/>
        <item x="3"/>
        <item x="4"/>
        <item x="5"/>
        <item x="6"/>
        <item t="default"/>
      </items>
    </pivotField>
    <pivotField name="Post 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Lik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Shar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Comment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Impression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Reach"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Hashtag_Clean_1" compact="0" outline="0" multipleItemSelectionAllowed="1" showAll="0">
      <items>
        <item x="0"/>
        <item x="1"/>
        <item x="2"/>
        <item x="3"/>
        <item t="default"/>
      </items>
    </pivotField>
    <pivotField name="hashtag_clean2" compact="0" outline="0" multipleItemSelectionAllowed="1" showAll="0">
      <items>
        <item x="0"/>
        <item x="1"/>
        <item x="2"/>
        <item x="3"/>
        <item x="4"/>
        <item x="5"/>
        <item x="6"/>
        <item t="default"/>
      </items>
    </pivotField>
    <pivotField name="hashtag_clean3" compact="0" outline="0" multipleItemSelectionAllowed="1" showAll="0">
      <items>
        <item x="0"/>
        <item x="1"/>
        <item x="2"/>
        <item x="3"/>
        <item x="4"/>
        <item t="default"/>
      </items>
    </pivotField>
    <pivotField name="Engagement_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ost_Date_Num"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s>
  <rowFields>
    <field x="3"/>
  </rowFields>
  <colFields>
    <field x="-2"/>
  </colFields>
  <dataFields>
    <dataField name="SUM of Impressions" fld="9" baseField="0"/>
    <dataField name="AVERAGE of Impressions" fld="9" subtotal="average" baseField="0"/>
    <dataField name="SUM of Likes" fld="6" baseField="0"/>
    <dataField name="AVERAGE of Likes" fld="6" subtotal="average" baseField="0"/>
    <dataField name="SUM of Comments" fld="8" baseField="0"/>
    <dataField name="AVERAGE of Comments" fld="8" subtotal="average" baseField="0"/>
  </dataFields>
</pivotTableDefinition>
</file>

<file path=xl/pivotTables/pivotTable9.xml><?xml version="1.0" encoding="utf-8"?>
<pivotTableDefinition xmlns="http://schemas.openxmlformats.org/spreadsheetml/2006/main" name="Campaign_Engagement_Uplift" cacheId="5" dataCaption="" compact="0" compactData="0">
  <location ref="A1:D7" firstHeaderRow="0" firstDataRow="1" firstDataCol="1"/>
  <pivotFields>
    <pivotField name="Pos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Platform_Clean" compact="0" outline="0" multipleItemSelectionAllowed="1" showAll="0">
      <items>
        <item x="0"/>
        <item x="1"/>
        <item x="2"/>
        <item x="3"/>
        <item t="default"/>
      </items>
    </pivotField>
    <pivotField name="Da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Campaign_Name" axis="axisRow" compact="0" numFmtId="164" outline="0" multipleItemSelectionAllowed="1" showAll="0" sortType="ascending">
      <items>
        <item x="2"/>
        <item x="1"/>
        <item x="0"/>
        <item x="3"/>
        <item t="default"/>
      </items>
    </pivotField>
    <pivotField name="Content Type" compact="0" outline="0" multipleItemSelectionAllowed="1" showAll="0">
      <items>
        <item x="0"/>
        <item x="1"/>
        <item x="2"/>
        <item x="3"/>
        <item x="4"/>
        <item x="5"/>
        <item t="default"/>
      </items>
    </pivotField>
    <pivotField name="Post Text"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Lik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Shar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t="default"/>
      </items>
    </pivotField>
    <pivotField name="Comment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t="default"/>
      </items>
    </pivotField>
    <pivotField name="Impression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Reach"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Hashtag_Clean_1" compact="0" outline="0" multipleItemSelectionAllowed="1" showAll="0">
      <items>
        <item x="0"/>
        <item x="1"/>
        <item x="2"/>
        <item t="default"/>
      </items>
    </pivotField>
    <pivotField name="hashtag_clean2" compact="0" outline="0" multipleItemSelectionAllowed="1" showAll="0">
      <items>
        <item x="0"/>
        <item x="1"/>
        <item x="2"/>
        <item x="3"/>
        <item x="4"/>
        <item x="5"/>
        <item t="default"/>
      </items>
    </pivotField>
    <pivotField name="hashtag_clean3" compact="0" outline="0" multipleItemSelectionAllowed="1" showAll="0">
      <items>
        <item x="0"/>
        <item x="1"/>
        <item x="2"/>
        <item x="3"/>
        <item t="default"/>
      </items>
    </pivotField>
    <pivotField name="Engagement_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Post_Date_Num"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Total_Engagement &#10;"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Period_Type&#10;" axis="axisCol" compact="0" outline="0" multipleItemSelectionAllowed="1" showAll="0" sortType="ascending">
      <items>
        <item x="0"/>
        <item x="1"/>
        <item t="default"/>
      </items>
    </pivotField>
    <pivotField name="Follower_Grow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s>
  <rowFields>
    <field x="3"/>
  </rowFields>
  <colFields>
    <field x="18"/>
  </colFields>
  <dataFields>
    <dataField name="SUM of Total_Engagement &#10;" fld="17" baseField="0"/>
  </dataFields>
</pivotTableDefinition>
</file>

<file path=xl/pivotTables/pivotTable10.xml><?xml version="1.0" encoding="utf-8"?>
<pivotTableDefinition xmlns="http://schemas.openxmlformats.org/spreadsheetml/2006/main" name="Follower_Growth_Impact" cacheId="6" dataCaption="" compact="0" compactData="0">
  <location ref="A1:C5" firstHeaderRow="0" firstDataRow="2" firstDataCol="0"/>
  <pivotFields>
    <pivotField name="Pos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latform_Clean" compact="0" outline="0" multipleItemSelectionAllowed="1" showAll="0">
      <items>
        <item x="0"/>
        <item x="1"/>
        <item x="2"/>
        <item x="3"/>
        <item x="4"/>
        <item t="default"/>
      </items>
    </pivotField>
    <pivotField name="Da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Campaign_Name" axis="axisRow" compact="0" numFmtId="164" outline="0" multipleItemSelectionAllowed="1" showAll="0" sortType="ascending">
      <items>
        <item h="1" x="4"/>
        <item x="2"/>
        <item x="1"/>
        <item h="1" x="0"/>
        <item x="3"/>
        <item t="default"/>
      </items>
    </pivotField>
    <pivotField name="Content Type" compact="0" outline="0" multipleItemSelectionAllowed="1" showAll="0">
      <items>
        <item x="0"/>
        <item x="1"/>
        <item x="2"/>
        <item x="3"/>
        <item x="4"/>
        <item x="5"/>
        <item x="6"/>
        <item t="default"/>
      </items>
    </pivotField>
    <pivotField name="Post 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Lik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Shar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Comment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Impression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Reach"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Hashtag_Clean_1" compact="0" outline="0" multipleItemSelectionAllowed="1" showAll="0">
      <items>
        <item x="0"/>
        <item x="1"/>
        <item x="2"/>
        <item x="3"/>
        <item t="default"/>
      </items>
    </pivotField>
    <pivotField name="hashtag_clean2" compact="0" outline="0" multipleItemSelectionAllowed="1" showAll="0">
      <items>
        <item x="0"/>
        <item x="1"/>
        <item x="2"/>
        <item x="3"/>
        <item x="4"/>
        <item x="5"/>
        <item x="6"/>
        <item t="default"/>
      </items>
    </pivotField>
    <pivotField name="hashtag_clean3" compact="0" outline="0" multipleItemSelectionAllowed="1" showAll="0">
      <items>
        <item x="0"/>
        <item x="1"/>
        <item x="2"/>
        <item x="3"/>
        <item x="4"/>
        <item t="default"/>
      </items>
    </pivotField>
    <pivotField name="Engagement_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ost_Date_Num"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Total_Engagement &#10;"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Period_Type&#10;" compact="0" outline="0" multipleItemSelectionAllowed="1" showAll="0">
      <items>
        <item x="0"/>
        <item x="1"/>
        <item x="2"/>
        <item t="default"/>
      </items>
    </pivotField>
    <pivotField name="Follower_Grow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s>
  <rowFields>
    <field x="3"/>
  </rowFields>
  <colFields>
    <field x="-2"/>
  </colFields>
  <dataFields>
    <dataField name="SUM of Reach" fld="10" baseField="0"/>
    <dataField name="AVERAGE of Reach" fld="10" subtotal="average" baseField="0"/>
  </dataFields>
</pivotTableDefinition>
</file>

<file path=xl/pivotTables/pivotTable11.xml><?xml version="1.0" encoding="utf-8"?>
<pivotTableDefinition xmlns="http://schemas.openxmlformats.org/spreadsheetml/2006/main" name="Weekly_Follower_Growth_Trends" cacheId="7" dataCaption="" compact="0" compactData="0">
  <location ref="A1:G55" firstHeaderRow="0" firstDataRow="1" firstDataCol="1"/>
  <pivotFields>
    <pivotField name="Pos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latform_Clean" axis="axisCol" compact="0" outline="0" multipleItemSelectionAllowed="1" showAll="0" sortType="ascending">
      <items>
        <item x="4"/>
        <item x="0"/>
        <item x="1"/>
        <item x="2"/>
        <item x="3"/>
        <item t="default"/>
      </items>
    </pivotField>
    <pivotField name="Da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Campaign_Name" compact="0" numFmtId="164" outline="0" multipleItemSelectionAllowed="1" showAll="0">
      <items>
        <item x="0"/>
        <item x="1"/>
        <item x="2"/>
        <item x="3"/>
        <item x="4"/>
        <item t="default"/>
      </items>
    </pivotField>
    <pivotField name="Content Type" compact="0" outline="0" multipleItemSelectionAllowed="1" showAll="0">
      <items>
        <item x="0"/>
        <item x="1"/>
        <item x="2"/>
        <item x="3"/>
        <item x="4"/>
        <item x="5"/>
        <item x="6"/>
        <item t="default"/>
      </items>
    </pivotField>
    <pivotField name="Post 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Lik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Shar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Comment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Impression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Reach"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Hashtag_Clean_1" compact="0" outline="0" multipleItemSelectionAllowed="1" showAll="0">
      <items>
        <item x="0"/>
        <item x="1"/>
        <item x="2"/>
        <item x="3"/>
        <item t="default"/>
      </items>
    </pivotField>
    <pivotField name="hashtag_clean2" compact="0" outline="0" multipleItemSelectionAllowed="1" showAll="0">
      <items>
        <item x="0"/>
        <item x="1"/>
        <item x="2"/>
        <item x="3"/>
        <item x="4"/>
        <item x="5"/>
        <item x="6"/>
        <item t="default"/>
      </items>
    </pivotField>
    <pivotField name="hashtag_clean3" compact="0" outline="0" multipleItemSelectionAllowed="1" showAll="0">
      <items>
        <item x="0"/>
        <item x="1"/>
        <item x="2"/>
        <item x="3"/>
        <item x="4"/>
        <item t="default"/>
      </items>
    </pivotField>
    <pivotField name="Engagement_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ost_Date_Num"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Total_Engagement &#10;"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Period_Type&#10;" compact="0" outline="0" multipleItemSelectionAllowed="1" showAll="0">
      <items>
        <item x="0"/>
        <item x="1"/>
        <item x="2"/>
        <item t="default"/>
      </items>
    </pivotField>
    <pivotField name="Follower_Growt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Week &#10;" axis="axisRow" compact="0" outline="0" multipleItemSelectionAllowed="1" showAll="0" sortType="ascending">
      <items>
        <item x="51"/>
        <item x="19"/>
        <item x="14"/>
        <item x="15"/>
        <item x="32"/>
        <item x="2"/>
        <item x="34"/>
        <item x="3"/>
        <item x="47"/>
        <item x="29"/>
        <item x="8"/>
        <item x="33"/>
        <item x="17"/>
        <item x="31"/>
        <item x="0"/>
        <item x="37"/>
        <item x="38"/>
        <item x="9"/>
        <item x="18"/>
        <item x="25"/>
        <item x="1"/>
        <item x="27"/>
        <item x="43"/>
        <item x="10"/>
        <item x="12"/>
        <item x="49"/>
        <item x="11"/>
        <item x="40"/>
        <item x="20"/>
        <item x="41"/>
        <item x="7"/>
        <item x="16"/>
        <item x="28"/>
        <item x="22"/>
        <item x="21"/>
        <item x="48"/>
        <item x="44"/>
        <item x="46"/>
        <item x="50"/>
        <item x="42"/>
        <item x="4"/>
        <item x="35"/>
        <item x="5"/>
        <item x="13"/>
        <item x="30"/>
        <item x="24"/>
        <item x="45"/>
        <item x="6"/>
        <item x="36"/>
        <item x="26"/>
        <item x="23"/>
        <item x="39"/>
        <item t="default"/>
      </items>
    </pivotField>
  </pivotFields>
  <rowFields>
    <field x="20"/>
  </rowFields>
  <colFields>
    <field x="1"/>
  </colFields>
  <dataFields>
    <dataField name="SUM of Follower_Growth" fld="19" baseField="0"/>
  </dataFields>
</pivotTableDefinition>
</file>

<file path=xl/pivotTables/pivotTable12.xml><?xml version="1.0" encoding="utf-8"?>
<pivotTableDefinition xmlns="http://schemas.openxmlformats.org/spreadsheetml/2006/main" name="Weekly_Max_Follower_Gain" cacheId="7" dataCaption="" compact="0" compactData="0">
  <location ref="A1:B54" firstHeaderRow="0" firstDataRow="1" firstDataCol="0"/>
  <pivotFields>
    <pivotField name="Pos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latform_Clean" compact="0" outline="0" multipleItemSelectionAllowed="1" showAll="0">
      <items>
        <item x="0"/>
        <item x="1"/>
        <item x="2"/>
        <item x="3"/>
        <item x="4"/>
        <item t="default"/>
      </items>
    </pivotField>
    <pivotField name="Da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Campaign_Name" compact="0" numFmtId="164" outline="0" multipleItemSelectionAllowed="1" showAll="0">
      <items>
        <item x="0"/>
        <item x="1"/>
        <item x="2"/>
        <item x="3"/>
        <item x="4"/>
        <item t="default"/>
      </items>
    </pivotField>
    <pivotField name="Content Type" compact="0" outline="0" multipleItemSelectionAllowed="1" showAll="0">
      <items>
        <item x="0"/>
        <item x="1"/>
        <item x="2"/>
        <item x="3"/>
        <item x="4"/>
        <item x="5"/>
        <item x="6"/>
        <item t="default"/>
      </items>
    </pivotField>
    <pivotField name="Post 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Lik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Shar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name="Comment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name="Impression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Reach"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Hashtag_Clean_1" compact="0" outline="0" multipleItemSelectionAllowed="1" showAll="0">
      <items>
        <item x="0"/>
        <item x="1"/>
        <item x="2"/>
        <item x="3"/>
        <item t="default"/>
      </items>
    </pivotField>
    <pivotField name="hashtag_clean2" compact="0" outline="0" multipleItemSelectionAllowed="1" showAll="0">
      <items>
        <item x="0"/>
        <item x="1"/>
        <item x="2"/>
        <item x="3"/>
        <item x="4"/>
        <item x="5"/>
        <item x="6"/>
        <item t="default"/>
      </items>
    </pivotField>
    <pivotField name="hashtag_clean3" compact="0" outline="0" multipleItemSelectionAllowed="1" showAll="0">
      <items>
        <item x="0"/>
        <item x="1"/>
        <item x="2"/>
        <item x="3"/>
        <item x="4"/>
        <item t="default"/>
      </items>
    </pivotField>
    <pivotField name="Engagement_Rat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name="Post_Date_Num"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Total_Engagement &#10;"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Period_Type&#10;" compact="0" outline="0" multipleItemSelectionAllowed="1" showAll="0">
      <items>
        <item x="0"/>
        <item x="1"/>
        <item x="2"/>
        <item t="default"/>
      </items>
    </pivotField>
    <pivotField name="Follower_Growt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Week &#10;" axis="axisRow" compact="0" outline="0" multipleItemSelectionAllowed="1" showAll="0" sortType="ascending">
      <items>
        <item x="51"/>
        <item x="19"/>
        <item x="14"/>
        <item x="15"/>
        <item x="32"/>
        <item x="2"/>
        <item x="34"/>
        <item x="3"/>
        <item x="47"/>
        <item x="29"/>
        <item x="8"/>
        <item x="33"/>
        <item x="17"/>
        <item x="31"/>
        <item x="0"/>
        <item x="37"/>
        <item x="38"/>
        <item x="9"/>
        <item x="18"/>
        <item x="25"/>
        <item x="1"/>
        <item x="27"/>
        <item x="43"/>
        <item x="10"/>
        <item x="12"/>
        <item x="49"/>
        <item x="11"/>
        <item x="40"/>
        <item x="20"/>
        <item x="41"/>
        <item x="7"/>
        <item x="16"/>
        <item x="28"/>
        <item x="22"/>
        <item x="21"/>
        <item x="48"/>
        <item x="44"/>
        <item x="46"/>
        <item x="50"/>
        <item x="42"/>
        <item x="4"/>
        <item x="35"/>
        <item x="5"/>
        <item x="13"/>
        <item x="30"/>
        <item x="24"/>
        <item x="45"/>
        <item x="6"/>
        <item x="36"/>
        <item x="26"/>
        <item x="23"/>
        <item x="39"/>
        <item t="default"/>
      </items>
    </pivotField>
  </pivotFields>
  <rowFields>
    <field x="20"/>
  </rowFields>
  <dataFields>
    <dataField name="Sum of Follower_Growth" fld="19"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Iif33WYpArPZwY1hlmqILMIdPJ4vEkmL/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2.71"/>
    <col customWidth="1" min="3" max="4" width="24.71"/>
    <col customWidth="1" min="5" max="5" width="36.29"/>
    <col customWidth="1" min="6" max="11" width="8.71"/>
    <col customWidth="1" min="12" max="12" width="15.71"/>
    <col customWidth="1" min="13" max="13" width="29.43"/>
    <col customWidth="1" min="14" max="14" width="31.71"/>
    <col customWidth="1" min="16" max="16" width="17.86"/>
    <col customWidth="1" min="18" max="18" width="17.71"/>
    <col customWidth="1" min="19" max="19" width="25.57"/>
    <col customWidth="1" min="20" max="20" width="21.71"/>
  </cols>
  <sheetData>
    <row r="1" ht="14.25" customHeight="1">
      <c r="A1" s="1" t="s">
        <v>0</v>
      </c>
      <c r="B1" s="2" t="s">
        <v>1</v>
      </c>
      <c r="C1" s="3" t="s">
        <v>2</v>
      </c>
      <c r="D1" s="4" t="s">
        <v>3</v>
      </c>
      <c r="E1" s="2" t="s">
        <v>4</v>
      </c>
      <c r="F1" s="2" t="s">
        <v>5</v>
      </c>
      <c r="G1" s="5" t="s">
        <v>6</v>
      </c>
      <c r="H1" s="5" t="s">
        <v>7</v>
      </c>
      <c r="I1" s="6" t="s">
        <v>8</v>
      </c>
      <c r="J1" s="6" t="s">
        <v>9</v>
      </c>
      <c r="K1" s="5" t="s">
        <v>10</v>
      </c>
      <c r="L1" s="5" t="s">
        <v>11</v>
      </c>
      <c r="M1" s="7" t="s">
        <v>12</v>
      </c>
      <c r="N1" s="7" t="s">
        <v>13</v>
      </c>
      <c r="O1" s="7" t="s">
        <v>14</v>
      </c>
      <c r="P1" s="8" t="s">
        <v>15</v>
      </c>
      <c r="Q1" s="4" t="s">
        <v>16</v>
      </c>
      <c r="R1" s="4" t="s">
        <v>17</v>
      </c>
      <c r="S1" s="4" t="s">
        <v>18</v>
      </c>
      <c r="T1" s="4" t="s">
        <v>19</v>
      </c>
      <c r="U1" s="4" t="s">
        <v>20</v>
      </c>
    </row>
    <row r="2" ht="14.25" customHeight="1">
      <c r="A2" s="9" t="s">
        <v>21</v>
      </c>
      <c r="B2" s="9" t="s">
        <v>22</v>
      </c>
      <c r="C2" s="10">
        <v>45749.0</v>
      </c>
      <c r="D2" s="10" t="str">
        <f>IF(
  AND(C2 &gt;= 'Campaign Metadata'!J$2, C2 &lt;= 'Campaign Metadata'!H$2),
  'Campaign Metadata'!A$2,
IF(
  AND(C2 &gt;= 'Campaign Metadata'!J$3, C2 &lt;= 'Campaign Metadata'!H$3),
  'Campaign Metadata'!A$3,
IF(
  AND(C2 &gt;= 'Campaign Metadata'!J$4, C2 &lt;= 'Campaign Metadata'!H$4),
  'Campaign Metadata'!A$4,
IF(
  AND(C2 &gt;= 'Campaign Metadata'!J$5, C2 &lt;= 'Campaign Metadata'!H$5),
  'Campaign Metadata'!A$5,
"Outside Campaign"
))))
</f>
        <v>Outside Campaign</v>
      </c>
      <c r="E2" s="9" t="s">
        <v>23</v>
      </c>
      <c r="F2" s="9" t="s">
        <v>24</v>
      </c>
      <c r="G2" s="11">
        <v>199.0</v>
      </c>
      <c r="H2" s="11">
        <v>772.0</v>
      </c>
      <c r="I2" s="11">
        <v>400.0</v>
      </c>
      <c r="J2" s="11">
        <v>3582.0</v>
      </c>
      <c r="K2" s="11">
        <v>2988.0</v>
      </c>
      <c r="L2" s="11">
        <v>43.0</v>
      </c>
      <c r="M2" s="12" t="s">
        <v>25</v>
      </c>
      <c r="N2" s="12" t="s">
        <v>26</v>
      </c>
      <c r="O2" s="12" t="s">
        <v>26</v>
      </c>
      <c r="P2" s="13">
        <v>0.38274706867671693</v>
      </c>
      <c r="Q2" s="14">
        <f t="shared" ref="Q2:Q301" si="1">DATEVALUE(C2)
</f>
        <v>45749</v>
      </c>
      <c r="R2" s="13">
        <f t="shared" ref="R2:R301" si="2">G2 + H2 + I2
</f>
        <v>1371</v>
      </c>
      <c r="S2" s="15" t="str">
        <f t="shared" ref="S2:S301" si="3">IF(D2="Outside Campaign","Before Campaign","During Campaign")
</f>
        <v>Before Campaign</v>
      </c>
      <c r="T2" s="15">
        <f t="shared" ref="T2:T301" si="4">IF(B2=B1, K2-K1, 0)
</f>
        <v>0</v>
      </c>
      <c r="U2" s="15">
        <f t="shared" ref="U2:U301" si="5">ISOWEEKNUM(C2)
</f>
        <v>14</v>
      </c>
    </row>
    <row r="3" ht="14.25" customHeight="1">
      <c r="A3" s="9" t="s">
        <v>27</v>
      </c>
      <c r="B3" s="9" t="s">
        <v>22</v>
      </c>
      <c r="C3" s="10">
        <v>45790.0</v>
      </c>
      <c r="D3" s="10" t="str">
        <f>IF(
  AND(C3 &gt;= 'Campaign Metadata'!J$2, C3 &lt;= 'Campaign Metadata'!H$2),
  'Campaign Metadata'!A$2,
IF(
  AND(C3 &gt;= 'Campaign Metadata'!J$3, C3 &lt;= 'Campaign Metadata'!H$3),
  'Campaign Metadata'!A$3,
IF(
  AND(C3 &gt;= 'Campaign Metadata'!J$4, C3 &lt;= 'Campaign Metadata'!H$4),
  'Campaign Metadata'!A$4,
IF(
  AND(C3 &gt;= 'Campaign Metadata'!J$5, C3 &lt;= 'Campaign Metadata'!H$5),
  'Campaign Metadata'!A$5,
"Outside Campaign"
))))
</f>
        <v>Outside Campaign</v>
      </c>
      <c r="E3" s="9" t="s">
        <v>28</v>
      </c>
      <c r="F3" s="9" t="s">
        <v>29</v>
      </c>
      <c r="G3" s="11">
        <v>602.0</v>
      </c>
      <c r="H3" s="11">
        <v>594.0</v>
      </c>
      <c r="I3" s="11">
        <v>156.0</v>
      </c>
      <c r="J3" s="11">
        <v>4214.0</v>
      </c>
      <c r="K3" s="11">
        <v>3363.0</v>
      </c>
      <c r="L3" s="11">
        <v>164.0</v>
      </c>
      <c r="M3" s="12" t="s">
        <v>25</v>
      </c>
      <c r="N3" s="12" t="s">
        <v>26</v>
      </c>
      <c r="O3" s="12" t="s">
        <v>26</v>
      </c>
      <c r="P3" s="13">
        <v>0.32083531086853345</v>
      </c>
      <c r="Q3" s="14">
        <f t="shared" si="1"/>
        <v>45790</v>
      </c>
      <c r="R3" s="13">
        <f t="shared" si="2"/>
        <v>1352</v>
      </c>
      <c r="S3" s="15" t="str">
        <f t="shared" si="3"/>
        <v>Before Campaign</v>
      </c>
      <c r="T3" s="16">
        <f t="shared" si="4"/>
        <v>375</v>
      </c>
      <c r="U3" s="15">
        <f t="shared" si="5"/>
        <v>20</v>
      </c>
    </row>
    <row r="4" ht="14.25" customHeight="1">
      <c r="A4" s="9" t="s">
        <v>30</v>
      </c>
      <c r="B4" s="9" t="s">
        <v>22</v>
      </c>
      <c r="C4" s="10">
        <v>45690.0</v>
      </c>
      <c r="D4" s="10" t="str">
        <f>IF(
  AND(C4 &gt;= 'Campaign Metadata'!J$2, C4 &lt;= 'Campaign Metadata'!H$2),
  'Campaign Metadata'!A$2,
IF(
  AND(C4 &gt;= 'Campaign Metadata'!J$3, C4 &lt;= 'Campaign Metadata'!H$3),
  'Campaign Metadata'!A$3,
IF(
  AND(C4 &gt;= 'Campaign Metadata'!J$4, C4 &lt;= 'Campaign Metadata'!H$4),
  'Campaign Metadata'!A$4,
IF(
  AND(C4 &gt;= 'Campaign Metadata'!J$5, C4 &lt;= 'Campaign Metadata'!H$5),
  'Campaign Metadata'!A$5,
"Outside Campaign"
))))
</f>
        <v>NewYearRefresh</v>
      </c>
      <c r="E4" s="9" t="s">
        <v>31</v>
      </c>
      <c r="F4" s="9" t="s">
        <v>32</v>
      </c>
      <c r="G4" s="11">
        <v>886.0</v>
      </c>
      <c r="H4" s="11">
        <v>126.0</v>
      </c>
      <c r="I4" s="11">
        <v>153.0</v>
      </c>
      <c r="J4" s="11">
        <v>4430.0</v>
      </c>
      <c r="K4" s="11">
        <v>4037.0</v>
      </c>
      <c r="L4" s="11">
        <v>212.0</v>
      </c>
      <c r="M4" s="12" t="s">
        <v>33</v>
      </c>
      <c r="N4" s="12" t="s">
        <v>26</v>
      </c>
      <c r="O4" s="12" t="s">
        <v>26</v>
      </c>
      <c r="P4" s="13">
        <v>0.26297968397291194</v>
      </c>
      <c r="Q4" s="14">
        <f t="shared" si="1"/>
        <v>45690</v>
      </c>
      <c r="R4" s="13">
        <f t="shared" si="2"/>
        <v>1165</v>
      </c>
      <c r="S4" s="15" t="str">
        <f t="shared" si="3"/>
        <v>During Campaign</v>
      </c>
      <c r="T4" s="16">
        <f t="shared" si="4"/>
        <v>674</v>
      </c>
      <c r="U4" s="15">
        <f t="shared" si="5"/>
        <v>5</v>
      </c>
    </row>
    <row r="5" ht="14.25" customHeight="1">
      <c r="A5" s="9" t="s">
        <v>34</v>
      </c>
      <c r="B5" s="9" t="s">
        <v>22</v>
      </c>
      <c r="C5" s="10">
        <v>45698.0</v>
      </c>
      <c r="D5" s="10" t="str">
        <f>IF(
  AND(C5 &gt;= 'Campaign Metadata'!J$2, C5 &lt;= 'Campaign Metadata'!H$2),
  'Campaign Metadata'!A$2,
IF(
  AND(C5 &gt;= 'Campaign Metadata'!J$3, C5 &lt;= 'Campaign Metadata'!H$3),
  'Campaign Metadata'!A$3,
IF(
  AND(C5 &gt;= 'Campaign Metadata'!J$4, C5 &lt;= 'Campaign Metadata'!H$4),
  'Campaign Metadata'!A$4,
IF(
  AND(C5 &gt;= 'Campaign Metadata'!J$5, C5 &lt;= 'Campaign Metadata'!H$5),
  'Campaign Metadata'!A$5,
"Outside Campaign"
))))
</f>
        <v>NewYearRefresh</v>
      </c>
      <c r="E5" s="9" t="s">
        <v>35</v>
      </c>
      <c r="F5" s="9" t="s">
        <v>36</v>
      </c>
      <c r="G5" s="11">
        <v>562.0</v>
      </c>
      <c r="H5" s="11">
        <v>158.0</v>
      </c>
      <c r="I5" s="11">
        <v>149.0</v>
      </c>
      <c r="J5" s="11">
        <v>3372.0</v>
      </c>
      <c r="K5" s="11">
        <v>2940.0</v>
      </c>
      <c r="L5" s="11">
        <v>93.0</v>
      </c>
      <c r="M5" s="12" t="s">
        <v>25</v>
      </c>
      <c r="N5" s="12" t="s">
        <v>26</v>
      </c>
      <c r="O5" s="12" t="s">
        <v>26</v>
      </c>
      <c r="P5" s="13">
        <v>0.25771055753262156</v>
      </c>
      <c r="Q5" s="14">
        <f t="shared" si="1"/>
        <v>45698</v>
      </c>
      <c r="R5" s="13">
        <f t="shared" si="2"/>
        <v>869</v>
      </c>
      <c r="S5" s="15" t="str">
        <f t="shared" si="3"/>
        <v>During Campaign</v>
      </c>
      <c r="T5" s="16">
        <f t="shared" si="4"/>
        <v>-1097</v>
      </c>
      <c r="U5" s="15">
        <f t="shared" si="5"/>
        <v>7</v>
      </c>
    </row>
    <row r="6" ht="14.25" customHeight="1">
      <c r="A6" s="9" t="s">
        <v>37</v>
      </c>
      <c r="B6" s="9" t="s">
        <v>22</v>
      </c>
      <c r="C6" s="10">
        <v>45753.0</v>
      </c>
      <c r="D6" s="10" t="str">
        <f>IF(
  AND(C6 &gt;= 'Campaign Metadata'!J$2, C6 &lt;= 'Campaign Metadata'!H$2),
  'Campaign Metadata'!A$2,
IF(
  AND(C6 &gt;= 'Campaign Metadata'!J$3, C6 &lt;= 'Campaign Metadata'!H$3),
  'Campaign Metadata'!A$3,
IF(
  AND(C6 &gt;= 'Campaign Metadata'!J$4, C6 &lt;= 'Campaign Metadata'!H$4),
  'Campaign Metadata'!A$4,
IF(
  AND(C6 &gt;= 'Campaign Metadata'!J$5, C6 &lt;= 'Campaign Metadata'!H$5),
  'Campaign Metadata'!A$5,
"Outside Campaign"
))))
</f>
        <v>Outside Campaign</v>
      </c>
      <c r="E6" s="9" t="s">
        <v>28</v>
      </c>
      <c r="F6" s="9" t="s">
        <v>29</v>
      </c>
      <c r="G6" s="11">
        <v>4236.0</v>
      </c>
      <c r="H6" s="11">
        <v>711.0</v>
      </c>
      <c r="I6" s="11">
        <v>298.0</v>
      </c>
      <c r="J6" s="11">
        <v>21180.0</v>
      </c>
      <c r="K6" s="11">
        <v>20516.0</v>
      </c>
      <c r="L6" s="11">
        <v>238.0</v>
      </c>
      <c r="M6" s="12" t="s">
        <v>38</v>
      </c>
      <c r="N6" s="12" t="s">
        <v>26</v>
      </c>
      <c r="O6" s="12" t="s">
        <v>26</v>
      </c>
      <c r="P6" s="13">
        <v>0.2476392823418319</v>
      </c>
      <c r="Q6" s="14">
        <f t="shared" si="1"/>
        <v>45753</v>
      </c>
      <c r="R6" s="13">
        <f t="shared" si="2"/>
        <v>5245</v>
      </c>
      <c r="S6" s="15" t="str">
        <f t="shared" si="3"/>
        <v>Before Campaign</v>
      </c>
      <c r="T6" s="16">
        <f t="shared" si="4"/>
        <v>17576</v>
      </c>
      <c r="U6" s="15">
        <f t="shared" si="5"/>
        <v>14</v>
      </c>
    </row>
    <row r="7" ht="14.25" customHeight="1">
      <c r="A7" s="9" t="s">
        <v>39</v>
      </c>
      <c r="B7" s="9" t="s">
        <v>22</v>
      </c>
      <c r="C7" s="10">
        <v>45576.0</v>
      </c>
      <c r="D7" s="10" t="str">
        <f>IF(
  AND(C7 &gt;= 'Campaign Metadata'!J$2, C7 &lt;= 'Campaign Metadata'!H$2),
  'Campaign Metadata'!A$2,
IF(
  AND(C7 &gt;= 'Campaign Metadata'!J$3, C7 &lt;= 'Campaign Metadata'!H$3),
  'Campaign Metadata'!A$3,
IF(
  AND(C7 &gt;= 'Campaign Metadata'!J$4, C7 &lt;= 'Campaign Metadata'!H$4),
  'Campaign Metadata'!A$4,
IF(
  AND(C7 &gt;= 'Campaign Metadata'!J$5, C7 &lt;= 'Campaign Metadata'!H$5),
  'Campaign Metadata'!A$5,
"Outside Campaign"
))))
</f>
        <v>FestiveRadiance</v>
      </c>
      <c r="E7" s="9" t="s">
        <v>28</v>
      </c>
      <c r="F7" s="9" t="s">
        <v>29</v>
      </c>
      <c r="G7" s="11">
        <v>400.0</v>
      </c>
      <c r="H7" s="11">
        <v>680.0</v>
      </c>
      <c r="I7" s="11">
        <v>434.0</v>
      </c>
      <c r="J7" s="11">
        <v>6400.0</v>
      </c>
      <c r="K7" s="11">
        <v>5472.0</v>
      </c>
      <c r="L7" s="11">
        <v>160.0</v>
      </c>
      <c r="M7" s="12" t="s">
        <v>38</v>
      </c>
      <c r="N7" s="12" t="s">
        <v>26</v>
      </c>
      <c r="O7" s="12" t="s">
        <v>26</v>
      </c>
      <c r="P7" s="13">
        <v>0.2365625</v>
      </c>
      <c r="Q7" s="14">
        <f t="shared" si="1"/>
        <v>45576</v>
      </c>
      <c r="R7" s="13">
        <f t="shared" si="2"/>
        <v>1514</v>
      </c>
      <c r="S7" s="15" t="str">
        <f t="shared" si="3"/>
        <v>During Campaign</v>
      </c>
      <c r="T7" s="16">
        <f t="shared" si="4"/>
        <v>-15044</v>
      </c>
      <c r="U7" s="15">
        <f t="shared" si="5"/>
        <v>41</v>
      </c>
    </row>
    <row r="8" ht="14.25" customHeight="1">
      <c r="A8" s="9" t="s">
        <v>40</v>
      </c>
      <c r="B8" s="9" t="s">
        <v>22</v>
      </c>
      <c r="C8" s="10">
        <v>45586.0</v>
      </c>
      <c r="D8" s="10" t="str">
        <f>IF(
  AND(C8 &gt;= 'Campaign Metadata'!J$2, C8 &lt;= 'Campaign Metadata'!H$2),
  'Campaign Metadata'!A$2,
IF(
  AND(C8 &gt;= 'Campaign Metadata'!J$3, C8 &lt;= 'Campaign Metadata'!H$3),
  'Campaign Metadata'!A$3,
IF(
  AND(C8 &gt;= 'Campaign Metadata'!J$4, C8 &lt;= 'Campaign Metadata'!H$4),
  'Campaign Metadata'!A$4,
IF(
  AND(C8 &gt;= 'Campaign Metadata'!J$5, C8 &lt;= 'Campaign Metadata'!H$5),
  'Campaign Metadata'!A$5,
"Outside Campaign"
))))
</f>
        <v>FestiveRadiance</v>
      </c>
      <c r="E8" s="9" t="s">
        <v>31</v>
      </c>
      <c r="F8" s="9" t="s">
        <v>32</v>
      </c>
      <c r="G8" s="11">
        <v>780.0</v>
      </c>
      <c r="H8" s="11">
        <v>928.0</v>
      </c>
      <c r="I8" s="11">
        <v>301.0</v>
      </c>
      <c r="J8" s="11">
        <v>8580.0</v>
      </c>
      <c r="K8" s="11">
        <v>8081.0</v>
      </c>
      <c r="L8" s="11">
        <v>91.0</v>
      </c>
      <c r="M8" s="12" t="s">
        <v>33</v>
      </c>
      <c r="N8" s="12" t="s">
        <v>26</v>
      </c>
      <c r="O8" s="12" t="s">
        <v>26</v>
      </c>
      <c r="P8" s="13">
        <v>0.23414918414918415</v>
      </c>
      <c r="Q8" s="14">
        <f t="shared" si="1"/>
        <v>45586</v>
      </c>
      <c r="R8" s="13">
        <f t="shared" si="2"/>
        <v>2009</v>
      </c>
      <c r="S8" s="15" t="str">
        <f t="shared" si="3"/>
        <v>During Campaign</v>
      </c>
      <c r="T8" s="16">
        <f t="shared" si="4"/>
        <v>2609</v>
      </c>
      <c r="U8" s="15">
        <f t="shared" si="5"/>
        <v>43</v>
      </c>
    </row>
    <row r="9" ht="14.25" customHeight="1">
      <c r="A9" s="9" t="s">
        <v>41</v>
      </c>
      <c r="B9" s="9" t="s">
        <v>22</v>
      </c>
      <c r="C9" s="10">
        <v>45621.0</v>
      </c>
      <c r="D9" s="10" t="str">
        <f>IF(
  AND(C9 &gt;= 'Campaign Metadata'!J$2, C9 &lt;= 'Campaign Metadata'!H$2),
  'Campaign Metadata'!A$2,
IF(
  AND(C9 &gt;= 'Campaign Metadata'!J$3, C9 &lt;= 'Campaign Metadata'!H$3),
  'Campaign Metadata'!A$3,
IF(
  AND(C9 &gt;= 'Campaign Metadata'!J$4, C9 &lt;= 'Campaign Metadata'!H$4),
  'Campaign Metadata'!A$4,
IF(
  AND(C9 &gt;= 'Campaign Metadata'!J$5, C9 &lt;= 'Campaign Metadata'!H$5),
  'Campaign Metadata'!A$5,
"Outside Campaign"
))))
</f>
        <v>FestiveRadiance</v>
      </c>
      <c r="E9" s="9" t="s">
        <v>31</v>
      </c>
      <c r="F9" s="9" t="s">
        <v>32</v>
      </c>
      <c r="G9" s="11">
        <v>2120.0</v>
      </c>
      <c r="H9" s="11">
        <v>158.0</v>
      </c>
      <c r="I9" s="11">
        <v>488.0</v>
      </c>
      <c r="J9" s="11">
        <v>12720.0</v>
      </c>
      <c r="K9" s="11">
        <v>12085.0</v>
      </c>
      <c r="L9" s="11">
        <v>17.0</v>
      </c>
      <c r="M9" s="12" t="s">
        <v>38</v>
      </c>
      <c r="N9" s="12" t="s">
        <v>26</v>
      </c>
      <c r="O9" s="12" t="s">
        <v>26</v>
      </c>
      <c r="P9" s="13">
        <v>0.21745283018867925</v>
      </c>
      <c r="Q9" s="14">
        <f t="shared" si="1"/>
        <v>45621</v>
      </c>
      <c r="R9" s="13">
        <f t="shared" si="2"/>
        <v>2766</v>
      </c>
      <c r="S9" s="15" t="str">
        <f t="shared" si="3"/>
        <v>During Campaign</v>
      </c>
      <c r="T9" s="16">
        <f t="shared" si="4"/>
        <v>4004</v>
      </c>
      <c r="U9" s="15">
        <f t="shared" si="5"/>
        <v>48</v>
      </c>
    </row>
    <row r="10" ht="14.25" customHeight="1">
      <c r="A10" s="9" t="s">
        <v>42</v>
      </c>
      <c r="B10" s="9" t="s">
        <v>22</v>
      </c>
      <c r="C10" s="10">
        <v>45504.0</v>
      </c>
      <c r="D10" s="10" t="str">
        <f>IF(
  AND(C10 &gt;= 'Campaign Metadata'!J$2, C10 &lt;= 'Campaign Metadata'!H$2),
  'Campaign Metadata'!A$2,
IF(
  AND(C10 &gt;= 'Campaign Metadata'!J$3, C10 &lt;= 'Campaign Metadata'!H$3),
  'Campaign Metadata'!A$3,
IF(
  AND(C10 &gt;= 'Campaign Metadata'!J$4, C10 &lt;= 'Campaign Metadata'!H$4),
  'Campaign Metadata'!A$4,
IF(
  AND(C10 &gt;= 'Campaign Metadata'!J$5, C10 &lt;= 'Campaign Metadata'!H$5),
  'Campaign Metadata'!A$5,
"Outside Campaign"
))))
</f>
        <v>SummerSplash</v>
      </c>
      <c r="E10" s="9" t="s">
        <v>23</v>
      </c>
      <c r="F10" s="9" t="s">
        <v>24</v>
      </c>
      <c r="G10" s="11">
        <v>3008.0</v>
      </c>
      <c r="H10" s="11">
        <v>94.0</v>
      </c>
      <c r="I10" s="11">
        <v>37.0</v>
      </c>
      <c r="J10" s="11">
        <v>15040.0</v>
      </c>
      <c r="K10" s="11">
        <v>14639.0</v>
      </c>
      <c r="L10" s="11">
        <v>277.0</v>
      </c>
      <c r="M10" s="12" t="s">
        <v>38</v>
      </c>
      <c r="N10" s="12" t="s">
        <v>26</v>
      </c>
      <c r="O10" s="12" t="s">
        <v>26</v>
      </c>
      <c r="P10" s="13">
        <v>0.2087101063829787</v>
      </c>
      <c r="Q10" s="14">
        <f t="shared" si="1"/>
        <v>45504</v>
      </c>
      <c r="R10" s="13">
        <f t="shared" si="2"/>
        <v>3139</v>
      </c>
      <c r="S10" s="15" t="str">
        <f t="shared" si="3"/>
        <v>During Campaign</v>
      </c>
      <c r="T10" s="16">
        <f t="shared" si="4"/>
        <v>2554</v>
      </c>
      <c r="U10" s="15">
        <f t="shared" si="5"/>
        <v>31</v>
      </c>
    </row>
    <row r="11" ht="14.25" customHeight="1">
      <c r="A11" s="9" t="s">
        <v>43</v>
      </c>
      <c r="B11" s="9" t="s">
        <v>22</v>
      </c>
      <c r="C11" s="10">
        <v>45720.0</v>
      </c>
      <c r="D11" s="10" t="str">
        <f>IF(
  AND(C11 &gt;= 'Campaign Metadata'!J$2, C11 &lt;= 'Campaign Metadata'!H$2),
  'Campaign Metadata'!A$2,
IF(
  AND(C11 &gt;= 'Campaign Metadata'!J$3, C11 &lt;= 'Campaign Metadata'!H$3),
  'Campaign Metadata'!A$3,
IF(
  AND(C11 &gt;= 'Campaign Metadata'!J$4, C11 &lt;= 'Campaign Metadata'!H$4),
  'Campaign Metadata'!A$4,
IF(
  AND(C11 &gt;= 'Campaign Metadata'!J$5, C11 &lt;= 'Campaign Metadata'!H$5),
  'Campaign Metadata'!A$5,
"Outside Campaign"
))))
</f>
        <v>Outside Campaign</v>
      </c>
      <c r="E11" s="9" t="s">
        <v>31</v>
      </c>
      <c r="F11" s="9" t="s">
        <v>32</v>
      </c>
      <c r="G11" s="11">
        <v>1249.0</v>
      </c>
      <c r="H11" s="11">
        <v>116.0</v>
      </c>
      <c r="I11" s="11">
        <v>420.0</v>
      </c>
      <c r="J11" s="11">
        <v>8743.0</v>
      </c>
      <c r="K11" s="11">
        <v>8538.0</v>
      </c>
      <c r="L11" s="11">
        <v>63.0</v>
      </c>
      <c r="M11" s="12" t="s">
        <v>25</v>
      </c>
      <c r="N11" s="12" t="s">
        <v>26</v>
      </c>
      <c r="O11" s="12" t="s">
        <v>26</v>
      </c>
      <c r="P11" s="13">
        <v>0.20416333066453163</v>
      </c>
      <c r="Q11" s="14">
        <f t="shared" si="1"/>
        <v>45720</v>
      </c>
      <c r="R11" s="13">
        <f t="shared" si="2"/>
        <v>1785</v>
      </c>
      <c r="S11" s="15" t="str">
        <f t="shared" si="3"/>
        <v>Before Campaign</v>
      </c>
      <c r="T11" s="16">
        <f t="shared" si="4"/>
        <v>-6101</v>
      </c>
      <c r="U11" s="15">
        <f t="shared" si="5"/>
        <v>10</v>
      </c>
    </row>
    <row r="12" ht="14.25" customHeight="1">
      <c r="A12" s="9" t="s">
        <v>44</v>
      </c>
      <c r="B12" s="9" t="s">
        <v>22</v>
      </c>
      <c r="C12" s="10">
        <v>45769.0</v>
      </c>
      <c r="D12" s="10" t="str">
        <f>IF(
  AND(C12 &gt;= 'Campaign Metadata'!J$2, C12 &lt;= 'Campaign Metadata'!H$2),
  'Campaign Metadata'!A$2,
IF(
  AND(C12 &gt;= 'Campaign Metadata'!J$3, C12 &lt;= 'Campaign Metadata'!H$3),
  'Campaign Metadata'!A$3,
IF(
  AND(C12 &gt;= 'Campaign Metadata'!J$4, C12 &lt;= 'Campaign Metadata'!H$4),
  'Campaign Metadata'!A$4,
IF(
  AND(C12 &gt;= 'Campaign Metadata'!J$5, C12 &lt;= 'Campaign Metadata'!H$5),
  'Campaign Metadata'!A$5,
"Outside Campaign"
))))
</f>
        <v>Outside Campaign</v>
      </c>
      <c r="E12" s="9" t="s">
        <v>28</v>
      </c>
      <c r="F12" s="9" t="s">
        <v>29</v>
      </c>
      <c r="G12" s="11">
        <v>4804.0</v>
      </c>
      <c r="H12" s="11">
        <v>550.0</v>
      </c>
      <c r="I12" s="11">
        <v>270.0</v>
      </c>
      <c r="J12" s="11">
        <v>28824.0</v>
      </c>
      <c r="K12" s="11">
        <v>28370.0</v>
      </c>
      <c r="L12" s="11">
        <v>47.0</v>
      </c>
      <c r="M12" s="12" t="s">
        <v>33</v>
      </c>
      <c r="N12" s="12" t="s">
        <v>26</v>
      </c>
      <c r="O12" s="12" t="s">
        <v>26</v>
      </c>
      <c r="P12" s="13">
        <v>0.19511518179295032</v>
      </c>
      <c r="Q12" s="14">
        <f t="shared" si="1"/>
        <v>45769</v>
      </c>
      <c r="R12" s="13">
        <f t="shared" si="2"/>
        <v>5624</v>
      </c>
      <c r="S12" s="15" t="str">
        <f t="shared" si="3"/>
        <v>Before Campaign</v>
      </c>
      <c r="T12" s="16">
        <f t="shared" si="4"/>
        <v>19832</v>
      </c>
      <c r="U12" s="15">
        <f t="shared" si="5"/>
        <v>17</v>
      </c>
      <c r="V12" s="17" t="s">
        <v>45</v>
      </c>
    </row>
    <row r="13" ht="14.25" customHeight="1">
      <c r="A13" s="9" t="s">
        <v>46</v>
      </c>
      <c r="B13" s="9" t="s">
        <v>22</v>
      </c>
      <c r="C13" s="10">
        <v>45454.0</v>
      </c>
      <c r="D13" s="10" t="str">
        <f>IF(
  AND(C13 &gt;= 'Campaign Metadata'!J$2, C13 &lt;= 'Campaign Metadata'!H$2),
  'Campaign Metadata'!A$2,
IF(
  AND(C13 &gt;= 'Campaign Metadata'!J$3, C13 &lt;= 'Campaign Metadata'!H$3),
  'Campaign Metadata'!A$3,
IF(
  AND(C13 &gt;= 'Campaign Metadata'!J$4, C13 &lt;= 'Campaign Metadata'!H$4),
  'Campaign Metadata'!A$4,
IF(
  AND(C13 &gt;= 'Campaign Metadata'!J$5, C13 &lt;= 'Campaign Metadata'!H$5),
  'Campaign Metadata'!A$5,
"Outside Campaign"
))))
</f>
        <v>SummerSplash</v>
      </c>
      <c r="E13" s="9" t="s">
        <v>47</v>
      </c>
      <c r="F13" s="9" t="s">
        <v>48</v>
      </c>
      <c r="G13" s="11">
        <v>1869.0</v>
      </c>
      <c r="H13" s="11">
        <v>453.0</v>
      </c>
      <c r="I13" s="11">
        <v>490.0</v>
      </c>
      <c r="J13" s="11">
        <v>14952.0</v>
      </c>
      <c r="K13" s="11">
        <v>14309.0</v>
      </c>
      <c r="L13" s="11">
        <v>275.0</v>
      </c>
      <c r="M13" s="12" t="s">
        <v>25</v>
      </c>
      <c r="N13" s="12" t="s">
        <v>26</v>
      </c>
      <c r="O13" s="12" t="s">
        <v>26</v>
      </c>
      <c r="P13" s="13">
        <v>0.18806848582129482</v>
      </c>
      <c r="Q13" s="14">
        <f t="shared" si="1"/>
        <v>45454</v>
      </c>
      <c r="R13" s="13">
        <f t="shared" si="2"/>
        <v>2812</v>
      </c>
      <c r="S13" s="15" t="str">
        <f t="shared" si="3"/>
        <v>During Campaign</v>
      </c>
      <c r="T13" s="16">
        <f t="shared" si="4"/>
        <v>-14061</v>
      </c>
      <c r="U13" s="15">
        <f t="shared" si="5"/>
        <v>24</v>
      </c>
    </row>
    <row r="14" ht="14.25" customHeight="1">
      <c r="A14" s="9" t="s">
        <v>49</v>
      </c>
      <c r="B14" s="9" t="s">
        <v>22</v>
      </c>
      <c r="C14" s="10">
        <v>45480.0</v>
      </c>
      <c r="D14" s="10" t="str">
        <f>IF(
  AND(C14 &gt;= 'Campaign Metadata'!J$2, C14 &lt;= 'Campaign Metadata'!H$2),
  'Campaign Metadata'!A$2,
IF(
  AND(C14 &gt;= 'Campaign Metadata'!J$3, C14 &lt;= 'Campaign Metadata'!H$3),
  'Campaign Metadata'!A$3,
IF(
  AND(C14 &gt;= 'Campaign Metadata'!J$4, C14 &lt;= 'Campaign Metadata'!H$4),
  'Campaign Metadata'!A$4,
IF(
  AND(C14 &gt;= 'Campaign Metadata'!J$5, C14 &lt;= 'Campaign Metadata'!H$5),
  'Campaign Metadata'!A$5,
"Outside Campaign"
))))
</f>
        <v>SummerSplash</v>
      </c>
      <c r="E14" s="9" t="s">
        <v>50</v>
      </c>
      <c r="F14" s="9" t="s">
        <v>51</v>
      </c>
      <c r="G14" s="11">
        <v>4767.0</v>
      </c>
      <c r="H14" s="11">
        <v>190.0</v>
      </c>
      <c r="I14" s="11">
        <v>340.0</v>
      </c>
      <c r="J14" s="11">
        <v>28602.0</v>
      </c>
      <c r="K14" s="11">
        <v>28044.0</v>
      </c>
      <c r="L14" s="11">
        <v>210.0</v>
      </c>
      <c r="M14" s="12" t="s">
        <v>33</v>
      </c>
      <c r="N14" s="12" t="s">
        <v>26</v>
      </c>
      <c r="O14" s="12" t="s">
        <v>26</v>
      </c>
      <c r="P14" s="13">
        <v>0.1851968393818614</v>
      </c>
      <c r="Q14" s="14">
        <f t="shared" si="1"/>
        <v>45480</v>
      </c>
      <c r="R14" s="13">
        <f t="shared" si="2"/>
        <v>5297</v>
      </c>
      <c r="S14" s="15" t="str">
        <f t="shared" si="3"/>
        <v>During Campaign</v>
      </c>
      <c r="T14" s="16">
        <f t="shared" si="4"/>
        <v>13735</v>
      </c>
      <c r="U14" s="15">
        <f t="shared" si="5"/>
        <v>27</v>
      </c>
    </row>
    <row r="15" ht="14.25" customHeight="1">
      <c r="A15" s="9" t="s">
        <v>52</v>
      </c>
      <c r="B15" s="9" t="s">
        <v>22</v>
      </c>
      <c r="C15" s="10">
        <v>45462.0</v>
      </c>
      <c r="D15" s="10" t="str">
        <f>IF(
  AND(C15 &gt;= 'Campaign Metadata'!J$2, C15 &lt;= 'Campaign Metadata'!H$2),
  'Campaign Metadata'!A$2,
IF(
  AND(C15 &gt;= 'Campaign Metadata'!J$3, C15 &lt;= 'Campaign Metadata'!H$3),
  'Campaign Metadata'!A$3,
IF(
  AND(C15 &gt;= 'Campaign Metadata'!J$4, C15 &lt;= 'Campaign Metadata'!H$4),
  'Campaign Metadata'!A$4,
IF(
  AND(C15 &gt;= 'Campaign Metadata'!J$5, C15 &lt;= 'Campaign Metadata'!H$5),
  'Campaign Metadata'!A$5,
"Outside Campaign"
))))
</f>
        <v>SummerSplash</v>
      </c>
      <c r="E15" s="9" t="s">
        <v>47</v>
      </c>
      <c r="F15" s="9" t="s">
        <v>48</v>
      </c>
      <c r="G15" s="11">
        <v>4731.0</v>
      </c>
      <c r="H15" s="11">
        <v>173.0</v>
      </c>
      <c r="I15" s="11">
        <v>276.0</v>
      </c>
      <c r="J15" s="11">
        <v>28386.0</v>
      </c>
      <c r="K15" s="11">
        <v>28185.0</v>
      </c>
      <c r="L15" s="11">
        <v>89.0</v>
      </c>
      <c r="M15" s="12" t="s">
        <v>33</v>
      </c>
      <c r="N15" s="12" t="s">
        <v>26</v>
      </c>
      <c r="O15" s="12" t="s">
        <v>26</v>
      </c>
      <c r="P15" s="13">
        <v>0.18248432325794406</v>
      </c>
      <c r="Q15" s="14">
        <f t="shared" si="1"/>
        <v>45462</v>
      </c>
      <c r="R15" s="13">
        <f t="shared" si="2"/>
        <v>5180</v>
      </c>
      <c r="S15" s="15" t="str">
        <f t="shared" si="3"/>
        <v>During Campaign</v>
      </c>
      <c r="T15" s="16">
        <f t="shared" si="4"/>
        <v>141</v>
      </c>
      <c r="U15" s="15">
        <f t="shared" si="5"/>
        <v>25</v>
      </c>
    </row>
    <row r="16" ht="14.25" customHeight="1">
      <c r="A16" s="9" t="s">
        <v>53</v>
      </c>
      <c r="B16" s="9" t="s">
        <v>22</v>
      </c>
      <c r="C16" s="10">
        <v>45596.0</v>
      </c>
      <c r="D16" s="10" t="str">
        <f>IF(
  AND(C16 &gt;= 'Campaign Metadata'!J$2, C16 &lt;= 'Campaign Metadata'!H$2),
  'Campaign Metadata'!A$2,
IF(
  AND(C16 &gt;= 'Campaign Metadata'!J$3, C16 &lt;= 'Campaign Metadata'!H$3),
  'Campaign Metadata'!A$3,
IF(
  AND(C16 &gt;= 'Campaign Metadata'!J$4, C16 &lt;= 'Campaign Metadata'!H$4),
  'Campaign Metadata'!A$4,
IF(
  AND(C16 &gt;= 'Campaign Metadata'!J$5, C16 &lt;= 'Campaign Metadata'!H$5),
  'Campaign Metadata'!A$5,
"Outside Campaign"
))))
</f>
        <v>FestiveRadiance</v>
      </c>
      <c r="E16" s="9" t="s">
        <v>47</v>
      </c>
      <c r="F16" s="9" t="s">
        <v>48</v>
      </c>
      <c r="G16" s="11">
        <v>2945.0</v>
      </c>
      <c r="H16" s="11">
        <v>930.0</v>
      </c>
      <c r="I16" s="11">
        <v>355.0</v>
      </c>
      <c r="J16" s="11">
        <v>23560.0</v>
      </c>
      <c r="K16" s="11">
        <v>23275.0</v>
      </c>
      <c r="L16" s="11">
        <v>256.0</v>
      </c>
      <c r="M16" s="12" t="s">
        <v>25</v>
      </c>
      <c r="N16" s="12" t="s">
        <v>26</v>
      </c>
      <c r="O16" s="12" t="s">
        <v>26</v>
      </c>
      <c r="P16" s="13">
        <v>0.17954159592529711</v>
      </c>
      <c r="Q16" s="14">
        <f t="shared" si="1"/>
        <v>45596</v>
      </c>
      <c r="R16" s="13">
        <f t="shared" si="2"/>
        <v>4230</v>
      </c>
      <c r="S16" s="15" t="str">
        <f t="shared" si="3"/>
        <v>During Campaign</v>
      </c>
      <c r="T16" s="16">
        <f t="shared" si="4"/>
        <v>-4910</v>
      </c>
      <c r="U16" s="15">
        <f t="shared" si="5"/>
        <v>44</v>
      </c>
    </row>
    <row r="17" ht="14.25" customHeight="1">
      <c r="A17" s="9" t="s">
        <v>54</v>
      </c>
      <c r="B17" s="9" t="s">
        <v>22</v>
      </c>
      <c r="C17" s="10">
        <v>45663.0</v>
      </c>
      <c r="D17" s="10" t="str">
        <f>IF(
  AND(C17 &gt;= 'Campaign Metadata'!J$2, C17 &lt;= 'Campaign Metadata'!H$2),
  'Campaign Metadata'!A$2,
IF(
  AND(C17 &gt;= 'Campaign Metadata'!J$3, C17 &lt;= 'Campaign Metadata'!H$3),
  'Campaign Metadata'!A$3,
IF(
  AND(C17 &gt;= 'Campaign Metadata'!J$4, C17 &lt;= 'Campaign Metadata'!H$4),
  'Campaign Metadata'!A$4,
IF(
  AND(C17 &gt;= 'Campaign Metadata'!J$5, C17 &lt;= 'Campaign Metadata'!H$5),
  'Campaign Metadata'!A$5,
"Outside Campaign"
))))
</f>
        <v>NewYearRefresh</v>
      </c>
      <c r="E17" s="9" t="s">
        <v>47</v>
      </c>
      <c r="F17" s="9" t="s">
        <v>48</v>
      </c>
      <c r="G17" s="11">
        <v>3024.0</v>
      </c>
      <c r="H17" s="11">
        <v>925.0</v>
      </c>
      <c r="I17" s="11">
        <v>350.0</v>
      </c>
      <c r="J17" s="11">
        <v>24192.0</v>
      </c>
      <c r="K17" s="11">
        <v>23518.0</v>
      </c>
      <c r="L17" s="11">
        <v>36.0</v>
      </c>
      <c r="M17" s="12" t="s">
        <v>33</v>
      </c>
      <c r="N17" s="12" t="s">
        <v>26</v>
      </c>
      <c r="O17" s="12" t="s">
        <v>26</v>
      </c>
      <c r="P17" s="13">
        <v>0.17770337301587302</v>
      </c>
      <c r="Q17" s="14">
        <f t="shared" si="1"/>
        <v>45663</v>
      </c>
      <c r="R17" s="13">
        <f t="shared" si="2"/>
        <v>4299</v>
      </c>
      <c r="S17" s="15" t="str">
        <f t="shared" si="3"/>
        <v>During Campaign</v>
      </c>
      <c r="T17" s="16">
        <f t="shared" si="4"/>
        <v>243</v>
      </c>
      <c r="U17" s="15">
        <f t="shared" si="5"/>
        <v>2</v>
      </c>
    </row>
    <row r="18" ht="14.25" customHeight="1">
      <c r="A18" s="9" t="s">
        <v>55</v>
      </c>
      <c r="B18" s="9" t="s">
        <v>22</v>
      </c>
      <c r="C18" s="10">
        <v>45675.0</v>
      </c>
      <c r="D18" s="10" t="str">
        <f>IF(
  AND(C18 &gt;= 'Campaign Metadata'!J$2, C18 &lt;= 'Campaign Metadata'!H$2),
  'Campaign Metadata'!A$2,
IF(
  AND(C18 &gt;= 'Campaign Metadata'!J$3, C18 &lt;= 'Campaign Metadata'!H$3),
  'Campaign Metadata'!A$3,
IF(
  AND(C18 &gt;= 'Campaign Metadata'!J$4, C18 &lt;= 'Campaign Metadata'!H$4),
  'Campaign Metadata'!A$4,
IF(
  AND(C18 &gt;= 'Campaign Metadata'!J$5, C18 &lt;= 'Campaign Metadata'!H$5),
  'Campaign Metadata'!A$5,
"Outside Campaign"
))))
</f>
        <v>NewYearRefresh</v>
      </c>
      <c r="E18" s="9" t="s">
        <v>31</v>
      </c>
      <c r="F18" s="9" t="s">
        <v>32</v>
      </c>
      <c r="G18" s="11">
        <v>4321.0</v>
      </c>
      <c r="H18" s="11">
        <v>874.0</v>
      </c>
      <c r="I18" s="11">
        <v>172.0</v>
      </c>
      <c r="J18" s="11">
        <v>30247.0</v>
      </c>
      <c r="K18" s="11">
        <v>29254.0</v>
      </c>
      <c r="L18" s="11">
        <v>122.0</v>
      </c>
      <c r="M18" s="12" t="s">
        <v>25</v>
      </c>
      <c r="N18" s="12" t="s">
        <v>26</v>
      </c>
      <c r="O18" s="12" t="s">
        <v>26</v>
      </c>
      <c r="P18" s="13">
        <v>0.1774390848679208</v>
      </c>
      <c r="Q18" s="14">
        <f t="shared" si="1"/>
        <v>45675</v>
      </c>
      <c r="R18" s="13">
        <f t="shared" si="2"/>
        <v>5367</v>
      </c>
      <c r="S18" s="15" t="str">
        <f t="shared" si="3"/>
        <v>During Campaign</v>
      </c>
      <c r="T18" s="16">
        <f t="shared" si="4"/>
        <v>5736</v>
      </c>
      <c r="U18" s="15">
        <f t="shared" si="5"/>
        <v>3</v>
      </c>
    </row>
    <row r="19" ht="14.25" customHeight="1">
      <c r="A19" s="9" t="s">
        <v>56</v>
      </c>
      <c r="B19" s="9" t="s">
        <v>22</v>
      </c>
      <c r="C19" s="10">
        <v>45509.0</v>
      </c>
      <c r="D19" s="10" t="str">
        <f>IF(
  AND(C19 &gt;= 'Campaign Metadata'!J$2, C19 &lt;= 'Campaign Metadata'!H$2),
  'Campaign Metadata'!A$2,
IF(
  AND(C19 &gt;= 'Campaign Metadata'!J$3, C19 &lt;= 'Campaign Metadata'!H$3),
  'Campaign Metadata'!A$3,
IF(
  AND(C19 &gt;= 'Campaign Metadata'!J$4, C19 &lt;= 'Campaign Metadata'!H$4),
  'Campaign Metadata'!A$4,
IF(
  AND(C19 &gt;= 'Campaign Metadata'!J$5, C19 &lt;= 'Campaign Metadata'!H$5),
  'Campaign Metadata'!A$5,
"Outside Campaign"
))))
</f>
        <v>SummerSplash</v>
      </c>
      <c r="E19" s="9" t="s">
        <v>50</v>
      </c>
      <c r="F19" s="9" t="s">
        <v>51</v>
      </c>
      <c r="G19" s="11">
        <v>1741.0</v>
      </c>
      <c r="H19" s="11">
        <v>831.0</v>
      </c>
      <c r="I19" s="11">
        <v>345.0</v>
      </c>
      <c r="J19" s="11">
        <v>17410.0</v>
      </c>
      <c r="K19" s="11">
        <v>16844.0</v>
      </c>
      <c r="L19" s="11">
        <v>58.0</v>
      </c>
      <c r="M19" s="12" t="s">
        <v>33</v>
      </c>
      <c r="N19" s="12" t="s">
        <v>26</v>
      </c>
      <c r="O19" s="12" t="s">
        <v>26</v>
      </c>
      <c r="P19" s="13">
        <v>0.1675473865594486</v>
      </c>
      <c r="Q19" s="14">
        <f t="shared" si="1"/>
        <v>45509</v>
      </c>
      <c r="R19" s="13">
        <f t="shared" si="2"/>
        <v>2917</v>
      </c>
      <c r="S19" s="15" t="str">
        <f t="shared" si="3"/>
        <v>During Campaign</v>
      </c>
      <c r="T19" s="16">
        <f t="shared" si="4"/>
        <v>-12410</v>
      </c>
      <c r="U19" s="15">
        <f t="shared" si="5"/>
        <v>32</v>
      </c>
    </row>
    <row r="20" ht="14.25" customHeight="1">
      <c r="A20" s="9" t="s">
        <v>57</v>
      </c>
      <c r="B20" s="9" t="s">
        <v>22</v>
      </c>
      <c r="C20" s="10">
        <v>45739.0</v>
      </c>
      <c r="D20" s="10" t="str">
        <f>IF(
  AND(C20 &gt;= 'Campaign Metadata'!J$2, C20 &lt;= 'Campaign Metadata'!H$2),
  'Campaign Metadata'!A$2,
IF(
  AND(C20 &gt;= 'Campaign Metadata'!J$3, C20 &lt;= 'Campaign Metadata'!H$3),
  'Campaign Metadata'!A$3,
IF(
  AND(C20 &gt;= 'Campaign Metadata'!J$4, C20 &lt;= 'Campaign Metadata'!H$4),
  'Campaign Metadata'!A$4,
IF(
  AND(C20 &gt;= 'Campaign Metadata'!J$5, C20 &lt;= 'Campaign Metadata'!H$5),
  'Campaign Metadata'!A$5,
"Outside Campaign"
))))
</f>
        <v>Outside Campaign</v>
      </c>
      <c r="E20" s="9" t="s">
        <v>23</v>
      </c>
      <c r="F20" s="9" t="s">
        <v>24</v>
      </c>
      <c r="G20" s="11">
        <v>4453.0</v>
      </c>
      <c r="H20" s="11">
        <v>111.0</v>
      </c>
      <c r="I20" s="11">
        <v>420.0</v>
      </c>
      <c r="J20" s="11">
        <v>31171.0</v>
      </c>
      <c r="K20" s="11">
        <v>30565.0</v>
      </c>
      <c r="L20" s="11">
        <v>23.0</v>
      </c>
      <c r="M20" s="12" t="s">
        <v>25</v>
      </c>
      <c r="N20" s="12" t="s">
        <v>26</v>
      </c>
      <c r="O20" s="12" t="s">
        <v>26</v>
      </c>
      <c r="P20" s="13">
        <v>0.1598922075005614</v>
      </c>
      <c r="Q20" s="14">
        <f t="shared" si="1"/>
        <v>45739</v>
      </c>
      <c r="R20" s="13">
        <f t="shared" si="2"/>
        <v>4984</v>
      </c>
      <c r="S20" s="15" t="str">
        <f t="shared" si="3"/>
        <v>Before Campaign</v>
      </c>
      <c r="T20" s="16">
        <f t="shared" si="4"/>
        <v>13721</v>
      </c>
      <c r="U20" s="15">
        <f t="shared" si="5"/>
        <v>12</v>
      </c>
    </row>
    <row r="21" ht="14.25" customHeight="1">
      <c r="A21" s="9" t="s">
        <v>58</v>
      </c>
      <c r="B21" s="9" t="s">
        <v>22</v>
      </c>
      <c r="C21" s="10">
        <v>45775.0</v>
      </c>
      <c r="D21" s="10" t="str">
        <f>IF(
  AND(C21 &gt;= 'Campaign Metadata'!J$2, C21 &lt;= 'Campaign Metadata'!H$2),
  'Campaign Metadata'!A$2,
IF(
  AND(C21 &gt;= 'Campaign Metadata'!J$3, C21 &lt;= 'Campaign Metadata'!H$3),
  'Campaign Metadata'!A$3,
IF(
  AND(C21 &gt;= 'Campaign Metadata'!J$4, C21 &lt;= 'Campaign Metadata'!H$4),
  'Campaign Metadata'!A$4,
IF(
  AND(C21 &gt;= 'Campaign Metadata'!J$5, C21 &lt;= 'Campaign Metadata'!H$5),
  'Campaign Metadata'!A$5,
"Outside Campaign"
))))
</f>
        <v>Outside Campaign</v>
      </c>
      <c r="E21" s="9" t="s">
        <v>47</v>
      </c>
      <c r="F21" s="9" t="s">
        <v>48</v>
      </c>
      <c r="G21" s="11">
        <v>2089.0</v>
      </c>
      <c r="H21" s="11">
        <v>476.0</v>
      </c>
      <c r="I21" s="11">
        <v>69.0</v>
      </c>
      <c r="J21" s="11">
        <v>16712.0</v>
      </c>
      <c r="K21" s="11">
        <v>16309.0</v>
      </c>
      <c r="L21" s="11">
        <v>64.0</v>
      </c>
      <c r="M21" s="12" t="s">
        <v>38</v>
      </c>
      <c r="N21" s="12" t="s">
        <v>26</v>
      </c>
      <c r="O21" s="12" t="s">
        <v>26</v>
      </c>
      <c r="P21" s="13">
        <v>0.15761129727142173</v>
      </c>
      <c r="Q21" s="14">
        <f t="shared" si="1"/>
        <v>45775</v>
      </c>
      <c r="R21" s="13">
        <f t="shared" si="2"/>
        <v>2634</v>
      </c>
      <c r="S21" s="15" t="str">
        <f t="shared" si="3"/>
        <v>Before Campaign</v>
      </c>
      <c r="T21" s="16">
        <f t="shared" si="4"/>
        <v>-14256</v>
      </c>
      <c r="U21" s="15">
        <f t="shared" si="5"/>
        <v>18</v>
      </c>
    </row>
    <row r="22" ht="14.25" customHeight="1">
      <c r="A22" s="9" t="s">
        <v>59</v>
      </c>
      <c r="B22" s="9" t="s">
        <v>22</v>
      </c>
      <c r="C22" s="10">
        <v>45660.0</v>
      </c>
      <c r="D22" s="10" t="str">
        <f>IF(
  AND(C22 &gt;= 'Campaign Metadata'!J$2, C22 &lt;= 'Campaign Metadata'!H$2),
  'Campaign Metadata'!A$2,
IF(
  AND(C22 &gt;= 'Campaign Metadata'!J$3, C22 &lt;= 'Campaign Metadata'!H$3),
  'Campaign Metadata'!A$3,
IF(
  AND(C22 &gt;= 'Campaign Metadata'!J$4, C22 &lt;= 'Campaign Metadata'!H$4),
  'Campaign Metadata'!A$4,
IF(
  AND(C22 &gt;= 'Campaign Metadata'!J$5, C22 &lt;= 'Campaign Metadata'!H$5),
  'Campaign Metadata'!A$5,
"Outside Campaign"
))))
</f>
        <v>NewYearRefresh</v>
      </c>
      <c r="E22" s="9" t="s">
        <v>28</v>
      </c>
      <c r="F22" s="9" t="s">
        <v>29</v>
      </c>
      <c r="G22" s="11">
        <v>947.0</v>
      </c>
      <c r="H22" s="11">
        <v>338.0</v>
      </c>
      <c r="I22" s="11">
        <v>350.0</v>
      </c>
      <c r="J22" s="11">
        <v>10417.0</v>
      </c>
      <c r="K22" s="11">
        <v>9730.0</v>
      </c>
      <c r="L22" s="11">
        <v>34.0</v>
      </c>
      <c r="M22" s="12" t="s">
        <v>25</v>
      </c>
      <c r="N22" s="12" t="s">
        <v>26</v>
      </c>
      <c r="O22" s="12" t="s">
        <v>26</v>
      </c>
      <c r="P22" s="13">
        <v>0.1569549774407219</v>
      </c>
      <c r="Q22" s="14">
        <f t="shared" si="1"/>
        <v>45660</v>
      </c>
      <c r="R22" s="13">
        <f t="shared" si="2"/>
        <v>1635</v>
      </c>
      <c r="S22" s="15" t="str">
        <f t="shared" si="3"/>
        <v>During Campaign</v>
      </c>
      <c r="T22" s="16">
        <f t="shared" si="4"/>
        <v>-6579</v>
      </c>
      <c r="U22" s="15">
        <f t="shared" si="5"/>
        <v>1</v>
      </c>
    </row>
    <row r="23" ht="14.25" customHeight="1">
      <c r="A23" s="9" t="s">
        <v>60</v>
      </c>
      <c r="B23" s="9" t="s">
        <v>22</v>
      </c>
      <c r="C23" s="10">
        <v>45488.0</v>
      </c>
      <c r="D23" s="10" t="str">
        <f>IF(
  AND(C23 &gt;= 'Campaign Metadata'!J$2, C23 &lt;= 'Campaign Metadata'!H$2),
  'Campaign Metadata'!A$2,
IF(
  AND(C23 &gt;= 'Campaign Metadata'!J$3, C23 &lt;= 'Campaign Metadata'!H$3),
  'Campaign Metadata'!A$3,
IF(
  AND(C23 &gt;= 'Campaign Metadata'!J$4, C23 &lt;= 'Campaign Metadata'!H$4),
  'Campaign Metadata'!A$4,
IF(
  AND(C23 &gt;= 'Campaign Metadata'!J$5, C23 &lt;= 'Campaign Metadata'!H$5),
  'Campaign Metadata'!A$5,
"Outside Campaign"
))))
</f>
        <v>SummerSplash</v>
      </c>
      <c r="E23" s="9" t="s">
        <v>28</v>
      </c>
      <c r="F23" s="9" t="s">
        <v>29</v>
      </c>
      <c r="G23" s="11">
        <v>2291.0</v>
      </c>
      <c r="H23" s="11">
        <v>78.0</v>
      </c>
      <c r="I23" s="11">
        <v>485.0</v>
      </c>
      <c r="J23" s="11">
        <v>18328.0</v>
      </c>
      <c r="K23" s="11">
        <v>18101.0</v>
      </c>
      <c r="L23" s="11">
        <v>10.0</v>
      </c>
      <c r="M23" s="12" t="s">
        <v>33</v>
      </c>
      <c r="N23" s="12" t="s">
        <v>61</v>
      </c>
      <c r="O23" s="12" t="s">
        <v>26</v>
      </c>
      <c r="P23" s="13">
        <v>0.15571802706241816</v>
      </c>
      <c r="Q23" s="14">
        <f t="shared" si="1"/>
        <v>45488</v>
      </c>
      <c r="R23" s="13">
        <f t="shared" si="2"/>
        <v>2854</v>
      </c>
      <c r="S23" s="15" t="str">
        <f t="shared" si="3"/>
        <v>During Campaign</v>
      </c>
      <c r="T23" s="16">
        <f t="shared" si="4"/>
        <v>8371</v>
      </c>
      <c r="U23" s="15">
        <f t="shared" si="5"/>
        <v>29</v>
      </c>
    </row>
    <row r="24" ht="14.25" customHeight="1">
      <c r="A24" s="9" t="s">
        <v>62</v>
      </c>
      <c r="B24" s="9" t="s">
        <v>22</v>
      </c>
      <c r="C24" s="10">
        <v>45704.0</v>
      </c>
      <c r="D24" s="10" t="str">
        <f>IF(
  AND(C24 &gt;= 'Campaign Metadata'!J$2, C24 &lt;= 'Campaign Metadata'!H$2),
  'Campaign Metadata'!A$2,
IF(
  AND(C24 &gt;= 'Campaign Metadata'!J$3, C24 &lt;= 'Campaign Metadata'!H$3),
  'Campaign Metadata'!A$3,
IF(
  AND(C24 &gt;= 'Campaign Metadata'!J$4, C24 &lt;= 'Campaign Metadata'!H$4),
  'Campaign Metadata'!A$4,
IF(
  AND(C24 &gt;= 'Campaign Metadata'!J$5, C24 &lt;= 'Campaign Metadata'!H$5),
  'Campaign Metadata'!A$5,
"Outside Campaign"
))))
</f>
        <v>NewYearRefresh</v>
      </c>
      <c r="E24" s="9" t="s">
        <v>31</v>
      </c>
      <c r="F24" s="9" t="s">
        <v>32</v>
      </c>
      <c r="G24" s="11">
        <v>4242.0</v>
      </c>
      <c r="H24" s="11">
        <v>555.0</v>
      </c>
      <c r="I24" s="11">
        <v>131.0</v>
      </c>
      <c r="J24" s="11">
        <v>33936.0</v>
      </c>
      <c r="K24" s="11">
        <v>33802.0</v>
      </c>
      <c r="L24" s="11">
        <v>265.0</v>
      </c>
      <c r="M24" s="12" t="s">
        <v>38</v>
      </c>
      <c r="N24" s="12" t="s">
        <v>26</v>
      </c>
      <c r="O24" s="12" t="s">
        <v>26</v>
      </c>
      <c r="P24" s="13">
        <v>0.14521452145214522</v>
      </c>
      <c r="Q24" s="14">
        <f t="shared" si="1"/>
        <v>45704</v>
      </c>
      <c r="R24" s="13">
        <f t="shared" si="2"/>
        <v>4928</v>
      </c>
      <c r="S24" s="15" t="str">
        <f t="shared" si="3"/>
        <v>During Campaign</v>
      </c>
      <c r="T24" s="16">
        <f t="shared" si="4"/>
        <v>15701</v>
      </c>
      <c r="U24" s="15">
        <f t="shared" si="5"/>
        <v>7</v>
      </c>
    </row>
    <row r="25" ht="14.25" customHeight="1">
      <c r="A25" s="9" t="s">
        <v>63</v>
      </c>
      <c r="B25" s="9" t="s">
        <v>22</v>
      </c>
      <c r="C25" s="10">
        <v>45530.0</v>
      </c>
      <c r="D25" s="10" t="str">
        <f>IF(
  AND(C25 &gt;= 'Campaign Metadata'!J$2, C25 &lt;= 'Campaign Metadata'!H$2),
  'Campaign Metadata'!A$2,
IF(
  AND(C25 &gt;= 'Campaign Metadata'!J$3, C25 &lt;= 'Campaign Metadata'!H$3),
  'Campaign Metadata'!A$3,
IF(
  AND(C25 &gt;= 'Campaign Metadata'!J$4, C25 &lt;= 'Campaign Metadata'!H$4),
  'Campaign Metadata'!A$4,
IF(
  AND(C25 &gt;= 'Campaign Metadata'!J$5, C25 &lt;= 'Campaign Metadata'!H$5),
  'Campaign Metadata'!A$5,
"Outside Campaign"
))))
</f>
        <v>SummerSplash</v>
      </c>
      <c r="E25" s="9" t="s">
        <v>28</v>
      </c>
      <c r="F25" s="9" t="s">
        <v>29</v>
      </c>
      <c r="G25" s="11">
        <v>2581.0</v>
      </c>
      <c r="H25" s="11">
        <v>517.0</v>
      </c>
      <c r="I25" s="11">
        <v>117.0</v>
      </c>
      <c r="J25" s="11">
        <v>23229.0</v>
      </c>
      <c r="K25" s="11">
        <v>22331.0</v>
      </c>
      <c r="L25" s="11">
        <v>70.0</v>
      </c>
      <c r="M25" s="12" t="s">
        <v>38</v>
      </c>
      <c r="N25" s="12" t="s">
        <v>26</v>
      </c>
      <c r="O25" s="12" t="s">
        <v>26</v>
      </c>
      <c r="P25" s="13">
        <v>0.13840458048129492</v>
      </c>
      <c r="Q25" s="14">
        <f t="shared" si="1"/>
        <v>45530</v>
      </c>
      <c r="R25" s="13">
        <f t="shared" si="2"/>
        <v>3215</v>
      </c>
      <c r="S25" s="15" t="str">
        <f t="shared" si="3"/>
        <v>During Campaign</v>
      </c>
      <c r="T25" s="16">
        <f t="shared" si="4"/>
        <v>-11471</v>
      </c>
      <c r="U25" s="15">
        <f t="shared" si="5"/>
        <v>35</v>
      </c>
    </row>
    <row r="26" ht="14.25" customHeight="1">
      <c r="A26" s="9" t="s">
        <v>64</v>
      </c>
      <c r="B26" s="9" t="s">
        <v>22</v>
      </c>
      <c r="C26" s="10">
        <v>45465.0</v>
      </c>
      <c r="D26" s="10" t="str">
        <f>IF(
  AND(C26 &gt;= 'Campaign Metadata'!J$2, C26 &lt;= 'Campaign Metadata'!H$2),
  'Campaign Metadata'!A$2,
IF(
  AND(C26 &gt;= 'Campaign Metadata'!J$3, C26 &lt;= 'Campaign Metadata'!H$3),
  'Campaign Metadata'!A$3,
IF(
  AND(C26 &gt;= 'Campaign Metadata'!J$4, C26 &lt;= 'Campaign Metadata'!H$4),
  'Campaign Metadata'!A$4,
IF(
  AND(C26 &gt;= 'Campaign Metadata'!J$5, C26 &lt;= 'Campaign Metadata'!H$5),
  'Campaign Metadata'!A$5,
"Outside Campaign"
))))
</f>
        <v>SummerSplash</v>
      </c>
      <c r="E26" s="9" t="s">
        <v>35</v>
      </c>
      <c r="F26" s="9" t="s">
        <v>36</v>
      </c>
      <c r="G26" s="11">
        <v>3828.0</v>
      </c>
      <c r="H26" s="11">
        <v>148.0</v>
      </c>
      <c r="I26" s="11">
        <v>253.0</v>
      </c>
      <c r="J26" s="11">
        <v>30624.0</v>
      </c>
      <c r="K26" s="11">
        <v>30229.0</v>
      </c>
      <c r="L26" s="11">
        <v>235.0</v>
      </c>
      <c r="M26" s="12" t="s">
        <v>33</v>
      </c>
      <c r="N26" s="12" t="s">
        <v>26</v>
      </c>
      <c r="O26" s="12" t="s">
        <v>26</v>
      </c>
      <c r="P26" s="13">
        <v>0.13809430512016718</v>
      </c>
      <c r="Q26" s="14">
        <f t="shared" si="1"/>
        <v>45465</v>
      </c>
      <c r="R26" s="13">
        <f t="shared" si="2"/>
        <v>4229</v>
      </c>
      <c r="S26" s="15" t="str">
        <f t="shared" si="3"/>
        <v>During Campaign</v>
      </c>
      <c r="T26" s="16">
        <f t="shared" si="4"/>
        <v>7898</v>
      </c>
      <c r="U26" s="15">
        <f t="shared" si="5"/>
        <v>25</v>
      </c>
    </row>
    <row r="27" ht="14.25" customHeight="1">
      <c r="A27" s="9" t="s">
        <v>65</v>
      </c>
      <c r="B27" s="9" t="s">
        <v>22</v>
      </c>
      <c r="C27" s="10">
        <v>45480.0</v>
      </c>
      <c r="D27" s="10" t="str">
        <f>IF(
  AND(C27 &gt;= 'Campaign Metadata'!J$2, C27 &lt;= 'Campaign Metadata'!H$2),
  'Campaign Metadata'!A$2,
IF(
  AND(C27 &gt;= 'Campaign Metadata'!J$3, C27 &lt;= 'Campaign Metadata'!H$3),
  'Campaign Metadata'!A$3,
IF(
  AND(C27 &gt;= 'Campaign Metadata'!J$4, C27 &lt;= 'Campaign Metadata'!H$4),
  'Campaign Metadata'!A$4,
IF(
  AND(C27 &gt;= 'Campaign Metadata'!J$5, C27 &lt;= 'Campaign Metadata'!H$5),
  'Campaign Metadata'!A$5,
"Outside Campaign"
))))
</f>
        <v>SummerSplash</v>
      </c>
      <c r="E27" s="9" t="s">
        <v>31</v>
      </c>
      <c r="F27" s="9" t="s">
        <v>32</v>
      </c>
      <c r="G27" s="11">
        <v>302.0</v>
      </c>
      <c r="H27" s="11">
        <v>47.0</v>
      </c>
      <c r="I27" s="11">
        <v>430.0</v>
      </c>
      <c r="J27" s="11">
        <v>5738.0</v>
      </c>
      <c r="K27" s="11">
        <v>4890.0</v>
      </c>
      <c r="L27" s="11">
        <v>25.0</v>
      </c>
      <c r="M27" s="12" t="s">
        <v>25</v>
      </c>
      <c r="N27" s="12" t="s">
        <v>26</v>
      </c>
      <c r="O27" s="12" t="s">
        <v>26</v>
      </c>
      <c r="P27" s="13">
        <v>0.1357615894039735</v>
      </c>
      <c r="Q27" s="14">
        <f t="shared" si="1"/>
        <v>45480</v>
      </c>
      <c r="R27" s="13">
        <f t="shared" si="2"/>
        <v>779</v>
      </c>
      <c r="S27" s="15" t="str">
        <f t="shared" si="3"/>
        <v>During Campaign</v>
      </c>
      <c r="T27" s="16">
        <f t="shared" si="4"/>
        <v>-25339</v>
      </c>
      <c r="U27" s="15">
        <f t="shared" si="5"/>
        <v>27</v>
      </c>
    </row>
    <row r="28" ht="14.25" customHeight="1">
      <c r="A28" s="9" t="s">
        <v>66</v>
      </c>
      <c r="B28" s="9" t="s">
        <v>22</v>
      </c>
      <c r="C28" s="10">
        <v>45523.0</v>
      </c>
      <c r="D28" s="10" t="str">
        <f>IF(
  AND(C28 &gt;= 'Campaign Metadata'!J$2, C28 &lt;= 'Campaign Metadata'!H$2),
  'Campaign Metadata'!A$2,
IF(
  AND(C28 &gt;= 'Campaign Metadata'!J$3, C28 &lt;= 'Campaign Metadata'!H$3),
  'Campaign Metadata'!A$3,
IF(
  AND(C28 &gt;= 'Campaign Metadata'!J$4, C28 &lt;= 'Campaign Metadata'!H$4),
  'Campaign Metadata'!A$4,
IF(
  AND(C28 &gt;= 'Campaign Metadata'!J$5, C28 &lt;= 'Campaign Metadata'!H$5),
  'Campaign Metadata'!A$5,
"Outside Campaign"
))))
</f>
        <v>SummerSplash</v>
      </c>
      <c r="E28" s="9" t="s">
        <v>35</v>
      </c>
      <c r="F28" s="9" t="s">
        <v>36</v>
      </c>
      <c r="G28" s="11">
        <v>1257.0</v>
      </c>
      <c r="H28" s="11">
        <v>19.0</v>
      </c>
      <c r="I28" s="11">
        <v>351.0</v>
      </c>
      <c r="J28" s="11">
        <v>12570.0</v>
      </c>
      <c r="K28" s="11">
        <v>11660.0</v>
      </c>
      <c r="L28" s="11">
        <v>194.0</v>
      </c>
      <c r="M28" s="12" t="s">
        <v>38</v>
      </c>
      <c r="N28" s="12" t="s">
        <v>67</v>
      </c>
      <c r="O28" s="12" t="s">
        <v>33</v>
      </c>
      <c r="P28" s="13">
        <v>0.1294351630867144</v>
      </c>
      <c r="Q28" s="14">
        <f t="shared" si="1"/>
        <v>45523</v>
      </c>
      <c r="R28" s="13">
        <f t="shared" si="2"/>
        <v>1627</v>
      </c>
      <c r="S28" s="15" t="str">
        <f t="shared" si="3"/>
        <v>During Campaign</v>
      </c>
      <c r="T28" s="16">
        <f t="shared" si="4"/>
        <v>6770</v>
      </c>
      <c r="U28" s="15">
        <f t="shared" si="5"/>
        <v>34</v>
      </c>
    </row>
    <row r="29" ht="14.25" customHeight="1">
      <c r="A29" s="9" t="s">
        <v>68</v>
      </c>
      <c r="B29" s="9" t="s">
        <v>22</v>
      </c>
      <c r="C29" s="10">
        <v>45644.0</v>
      </c>
      <c r="D29" s="10" t="str">
        <f>IF(
  AND(C29 &gt;= 'Campaign Metadata'!J$2, C29 &lt;= 'Campaign Metadata'!H$2),
  'Campaign Metadata'!A$2,
IF(
  AND(C29 &gt;= 'Campaign Metadata'!J$3, C29 &lt;= 'Campaign Metadata'!H$3),
  'Campaign Metadata'!A$3,
IF(
  AND(C29 &gt;= 'Campaign Metadata'!J$4, C29 &lt;= 'Campaign Metadata'!H$4),
  'Campaign Metadata'!A$4,
IF(
  AND(C29 &gt;= 'Campaign Metadata'!J$5, C29 &lt;= 'Campaign Metadata'!H$5),
  'Campaign Metadata'!A$5,
"Outside Campaign"
))))
</f>
        <v>FestiveRadiance</v>
      </c>
      <c r="E29" s="9" t="s">
        <v>47</v>
      </c>
      <c r="F29" s="9" t="s">
        <v>48</v>
      </c>
      <c r="G29" s="11">
        <v>2946.0</v>
      </c>
      <c r="H29" s="11">
        <v>498.0</v>
      </c>
      <c r="I29" s="11">
        <v>367.0</v>
      </c>
      <c r="J29" s="11">
        <v>29460.0</v>
      </c>
      <c r="K29" s="11">
        <v>28527.0</v>
      </c>
      <c r="L29" s="11">
        <v>60.0</v>
      </c>
      <c r="M29" s="12" t="s">
        <v>38</v>
      </c>
      <c r="N29" s="12" t="s">
        <v>26</v>
      </c>
      <c r="O29" s="12" t="s">
        <v>26</v>
      </c>
      <c r="P29" s="13">
        <v>0.12936184657162253</v>
      </c>
      <c r="Q29" s="14">
        <f t="shared" si="1"/>
        <v>45644</v>
      </c>
      <c r="R29" s="13">
        <f t="shared" si="2"/>
        <v>3811</v>
      </c>
      <c r="S29" s="15" t="str">
        <f t="shared" si="3"/>
        <v>During Campaign</v>
      </c>
      <c r="T29" s="16">
        <f t="shared" si="4"/>
        <v>16867</v>
      </c>
      <c r="U29" s="15">
        <f t="shared" si="5"/>
        <v>51</v>
      </c>
    </row>
    <row r="30" ht="14.25" customHeight="1">
      <c r="A30" s="9" t="s">
        <v>69</v>
      </c>
      <c r="B30" s="9" t="s">
        <v>22</v>
      </c>
      <c r="C30" s="10">
        <v>45494.0</v>
      </c>
      <c r="D30" s="10" t="str">
        <f>IF(
  AND(C30 &gt;= 'Campaign Metadata'!J$2, C30 &lt;= 'Campaign Metadata'!H$2),
  'Campaign Metadata'!A$2,
IF(
  AND(C30 &gt;= 'Campaign Metadata'!J$3, C30 &lt;= 'Campaign Metadata'!H$3),
  'Campaign Metadata'!A$3,
IF(
  AND(C30 &gt;= 'Campaign Metadata'!J$4, C30 &lt;= 'Campaign Metadata'!H$4),
  'Campaign Metadata'!A$4,
IF(
  AND(C30 &gt;= 'Campaign Metadata'!J$5, C30 &lt;= 'Campaign Metadata'!H$5),
  'Campaign Metadata'!A$5,
"Outside Campaign"
))))
</f>
        <v>SummerSplash</v>
      </c>
      <c r="E30" s="9" t="s">
        <v>50</v>
      </c>
      <c r="F30" s="9" t="s">
        <v>51</v>
      </c>
      <c r="G30" s="11">
        <v>1946.0</v>
      </c>
      <c r="H30" s="11">
        <v>686.0</v>
      </c>
      <c r="I30" s="11">
        <v>377.0</v>
      </c>
      <c r="J30" s="11">
        <v>23352.0</v>
      </c>
      <c r="K30" s="11">
        <v>22982.0</v>
      </c>
      <c r="L30" s="11">
        <v>213.0</v>
      </c>
      <c r="M30" s="12" t="s">
        <v>38</v>
      </c>
      <c r="N30" s="12" t="s">
        <v>26</v>
      </c>
      <c r="O30" s="12" t="s">
        <v>26</v>
      </c>
      <c r="P30" s="13">
        <v>0.12885405960945528</v>
      </c>
      <c r="Q30" s="14">
        <f t="shared" si="1"/>
        <v>45494</v>
      </c>
      <c r="R30" s="13">
        <f t="shared" si="2"/>
        <v>3009</v>
      </c>
      <c r="S30" s="15" t="str">
        <f t="shared" si="3"/>
        <v>During Campaign</v>
      </c>
      <c r="T30" s="16">
        <f t="shared" si="4"/>
        <v>-5545</v>
      </c>
      <c r="U30" s="15">
        <f t="shared" si="5"/>
        <v>29</v>
      </c>
    </row>
    <row r="31" ht="14.25" customHeight="1">
      <c r="A31" s="9" t="s">
        <v>70</v>
      </c>
      <c r="B31" s="9" t="s">
        <v>22</v>
      </c>
      <c r="C31" s="10">
        <v>45648.0</v>
      </c>
      <c r="D31" s="10" t="str">
        <f>IF(
  AND(C31 &gt;= 'Campaign Metadata'!J$2, C31 &lt;= 'Campaign Metadata'!H$2),
  'Campaign Metadata'!A$2,
IF(
  AND(C31 &gt;= 'Campaign Metadata'!J$3, C31 &lt;= 'Campaign Metadata'!H$3),
  'Campaign Metadata'!A$3,
IF(
  AND(C31 &gt;= 'Campaign Metadata'!J$4, C31 &lt;= 'Campaign Metadata'!H$4),
  'Campaign Metadata'!A$4,
IF(
  AND(C31 &gt;= 'Campaign Metadata'!J$5, C31 &lt;= 'Campaign Metadata'!H$5),
  'Campaign Metadata'!A$5,
"Outside Campaign"
))))
</f>
        <v>FestiveRadiance</v>
      </c>
      <c r="E31" s="9" t="s">
        <v>28</v>
      </c>
      <c r="F31" s="9" t="s">
        <v>29</v>
      </c>
      <c r="G31" s="11">
        <v>3196.0</v>
      </c>
      <c r="H31" s="11">
        <v>941.0</v>
      </c>
      <c r="I31" s="11">
        <v>376.0</v>
      </c>
      <c r="J31" s="11">
        <v>35156.0</v>
      </c>
      <c r="K31" s="11">
        <v>34444.0</v>
      </c>
      <c r="L31" s="11">
        <v>241.0</v>
      </c>
      <c r="M31" s="12" t="s">
        <v>25</v>
      </c>
      <c r="N31" s="12" t="s">
        <v>26</v>
      </c>
      <c r="O31" s="12" t="s">
        <v>26</v>
      </c>
      <c r="P31" s="13">
        <v>0.1283706906360223</v>
      </c>
      <c r="Q31" s="14">
        <f t="shared" si="1"/>
        <v>45648</v>
      </c>
      <c r="R31" s="13">
        <f t="shared" si="2"/>
        <v>4513</v>
      </c>
      <c r="S31" s="15" t="str">
        <f t="shared" si="3"/>
        <v>During Campaign</v>
      </c>
      <c r="T31" s="16">
        <f t="shared" si="4"/>
        <v>11462</v>
      </c>
      <c r="U31" s="15">
        <f t="shared" si="5"/>
        <v>51</v>
      </c>
    </row>
    <row r="32" ht="14.25" customHeight="1">
      <c r="A32" s="9" t="s">
        <v>71</v>
      </c>
      <c r="B32" s="9" t="s">
        <v>22</v>
      </c>
      <c r="C32" s="10">
        <v>45525.0</v>
      </c>
      <c r="D32" s="10" t="str">
        <f>IF(
  AND(C32 &gt;= 'Campaign Metadata'!J$2, C32 &lt;= 'Campaign Metadata'!H$2),
  'Campaign Metadata'!A$2,
IF(
  AND(C32 &gt;= 'Campaign Metadata'!J$3, C32 &lt;= 'Campaign Metadata'!H$3),
  'Campaign Metadata'!A$3,
IF(
  AND(C32 &gt;= 'Campaign Metadata'!J$4, C32 &lt;= 'Campaign Metadata'!H$4),
  'Campaign Metadata'!A$4,
IF(
  AND(C32 &gt;= 'Campaign Metadata'!J$5, C32 &lt;= 'Campaign Metadata'!H$5),
  'Campaign Metadata'!A$5,
"Outside Campaign"
))))
</f>
        <v>SummerSplash</v>
      </c>
      <c r="E32" s="9" t="s">
        <v>28</v>
      </c>
      <c r="F32" s="9" t="s">
        <v>29</v>
      </c>
      <c r="G32" s="11">
        <v>1407.0</v>
      </c>
      <c r="H32" s="11">
        <v>400.0</v>
      </c>
      <c r="I32" s="11">
        <v>351.0</v>
      </c>
      <c r="J32" s="11">
        <v>16884.0</v>
      </c>
      <c r="K32" s="11">
        <v>15954.0</v>
      </c>
      <c r="L32" s="11">
        <v>113.0</v>
      </c>
      <c r="M32" s="12" t="s">
        <v>25</v>
      </c>
      <c r="N32" s="12" t="s">
        <v>26</v>
      </c>
      <c r="O32" s="12" t="s">
        <v>26</v>
      </c>
      <c r="P32" s="13">
        <v>0.12781331438047855</v>
      </c>
      <c r="Q32" s="14">
        <f t="shared" si="1"/>
        <v>45525</v>
      </c>
      <c r="R32" s="13">
        <f t="shared" si="2"/>
        <v>2158</v>
      </c>
      <c r="S32" s="15" t="str">
        <f t="shared" si="3"/>
        <v>During Campaign</v>
      </c>
      <c r="T32" s="16">
        <f t="shared" si="4"/>
        <v>-18490</v>
      </c>
      <c r="U32" s="15">
        <f t="shared" si="5"/>
        <v>34</v>
      </c>
    </row>
    <row r="33" ht="14.25" customHeight="1">
      <c r="A33" s="9" t="s">
        <v>72</v>
      </c>
      <c r="B33" s="9" t="s">
        <v>22</v>
      </c>
      <c r="C33" s="10">
        <v>45791.0</v>
      </c>
      <c r="D33" s="10" t="str">
        <f>IF(
  AND(C33 &gt;= 'Campaign Metadata'!J$2, C33 &lt;= 'Campaign Metadata'!H$2),
  'Campaign Metadata'!A$2,
IF(
  AND(C33 &gt;= 'Campaign Metadata'!J$3, C33 &lt;= 'Campaign Metadata'!H$3),
  'Campaign Metadata'!A$3,
IF(
  AND(C33 &gt;= 'Campaign Metadata'!J$4, C33 &lt;= 'Campaign Metadata'!H$4),
  'Campaign Metadata'!A$4,
IF(
  AND(C33 &gt;= 'Campaign Metadata'!J$5, C33 &lt;= 'Campaign Metadata'!H$5),
  'Campaign Metadata'!A$5,
"Outside Campaign"
))))
</f>
        <v>Outside Campaign</v>
      </c>
      <c r="E33" s="9" t="s">
        <v>35</v>
      </c>
      <c r="F33" s="9" t="s">
        <v>36</v>
      </c>
      <c r="G33" s="11">
        <v>2634.0</v>
      </c>
      <c r="H33" s="11">
        <v>726.0</v>
      </c>
      <c r="I33" s="11">
        <v>241.0</v>
      </c>
      <c r="J33" s="11">
        <v>28974.0</v>
      </c>
      <c r="K33" s="11">
        <v>28102.0</v>
      </c>
      <c r="L33" s="11">
        <v>277.0</v>
      </c>
      <c r="M33" s="12" t="s">
        <v>33</v>
      </c>
      <c r="N33" s="12" t="s">
        <v>26</v>
      </c>
      <c r="O33" s="12" t="s">
        <v>26</v>
      </c>
      <c r="P33" s="13">
        <v>0.12428384068475185</v>
      </c>
      <c r="Q33" s="14">
        <f t="shared" si="1"/>
        <v>45791</v>
      </c>
      <c r="R33" s="13">
        <f t="shared" si="2"/>
        <v>3601</v>
      </c>
      <c r="S33" s="15" t="str">
        <f t="shared" si="3"/>
        <v>Before Campaign</v>
      </c>
      <c r="T33" s="16">
        <f t="shared" si="4"/>
        <v>12148</v>
      </c>
      <c r="U33" s="15">
        <f t="shared" si="5"/>
        <v>20</v>
      </c>
    </row>
    <row r="34" ht="14.25" customHeight="1">
      <c r="A34" s="9" t="s">
        <v>73</v>
      </c>
      <c r="B34" s="9" t="s">
        <v>22</v>
      </c>
      <c r="C34" s="10">
        <v>45613.0</v>
      </c>
      <c r="D34" s="10" t="str">
        <f>IF(
  AND(C34 &gt;= 'Campaign Metadata'!J$2, C34 &lt;= 'Campaign Metadata'!H$2),
  'Campaign Metadata'!A$2,
IF(
  AND(C34 &gt;= 'Campaign Metadata'!J$3, C34 &lt;= 'Campaign Metadata'!H$3),
  'Campaign Metadata'!A$3,
IF(
  AND(C34 &gt;= 'Campaign Metadata'!J$4, C34 &lt;= 'Campaign Metadata'!H$4),
  'Campaign Metadata'!A$4,
IF(
  AND(C34 &gt;= 'Campaign Metadata'!J$5, C34 &lt;= 'Campaign Metadata'!H$5),
  'Campaign Metadata'!A$5,
"Outside Campaign"
))))
</f>
        <v>FestiveRadiance</v>
      </c>
      <c r="E34" s="9" t="s">
        <v>35</v>
      </c>
      <c r="F34" s="9" t="s">
        <v>36</v>
      </c>
      <c r="G34" s="11">
        <v>880.0</v>
      </c>
      <c r="H34" s="11">
        <v>297.0</v>
      </c>
      <c r="I34" s="11">
        <v>345.0</v>
      </c>
      <c r="J34" s="11">
        <v>12320.0</v>
      </c>
      <c r="K34" s="11">
        <v>11978.0</v>
      </c>
      <c r="L34" s="11">
        <v>238.0</v>
      </c>
      <c r="M34" s="12" t="s">
        <v>25</v>
      </c>
      <c r="N34" s="12" t="s">
        <v>67</v>
      </c>
      <c r="O34" s="12" t="s">
        <v>26</v>
      </c>
      <c r="P34" s="13">
        <v>0.12353896103896105</v>
      </c>
      <c r="Q34" s="14">
        <f t="shared" si="1"/>
        <v>45613</v>
      </c>
      <c r="R34" s="13">
        <f t="shared" si="2"/>
        <v>1522</v>
      </c>
      <c r="S34" s="15" t="str">
        <f t="shared" si="3"/>
        <v>During Campaign</v>
      </c>
      <c r="T34" s="16">
        <f t="shared" si="4"/>
        <v>-16124</v>
      </c>
      <c r="U34" s="15">
        <f t="shared" si="5"/>
        <v>46</v>
      </c>
    </row>
    <row r="35" ht="14.25" customHeight="1">
      <c r="A35" s="9" t="s">
        <v>74</v>
      </c>
      <c r="B35" s="9" t="s">
        <v>22</v>
      </c>
      <c r="C35" s="10">
        <v>45669.0</v>
      </c>
      <c r="D35" s="10" t="str">
        <f>IF(
  AND(C35 &gt;= 'Campaign Metadata'!J$2, C35 &lt;= 'Campaign Metadata'!H$2),
  'Campaign Metadata'!A$2,
IF(
  AND(C35 &gt;= 'Campaign Metadata'!J$3, C35 &lt;= 'Campaign Metadata'!H$3),
  'Campaign Metadata'!A$3,
IF(
  AND(C35 &gt;= 'Campaign Metadata'!J$4, C35 &lt;= 'Campaign Metadata'!H$4),
  'Campaign Metadata'!A$4,
IF(
  AND(C35 &gt;= 'Campaign Metadata'!J$5, C35 &lt;= 'Campaign Metadata'!H$5),
  'Campaign Metadata'!A$5,
"Outside Campaign"
))))
</f>
        <v>NewYearRefresh</v>
      </c>
      <c r="E35" s="9" t="s">
        <v>50</v>
      </c>
      <c r="F35" s="9" t="s">
        <v>51</v>
      </c>
      <c r="G35" s="11">
        <v>4134.0</v>
      </c>
      <c r="H35" s="11">
        <v>824.0</v>
      </c>
      <c r="I35" s="11">
        <v>99.0</v>
      </c>
      <c r="J35" s="11">
        <v>41340.0</v>
      </c>
      <c r="K35" s="11">
        <v>41050.0</v>
      </c>
      <c r="L35" s="11">
        <v>177.0</v>
      </c>
      <c r="M35" s="12" t="s">
        <v>33</v>
      </c>
      <c r="N35" s="12" t="s">
        <v>26</v>
      </c>
      <c r="O35" s="12" t="s">
        <v>26</v>
      </c>
      <c r="P35" s="13">
        <v>0.12232704402515723</v>
      </c>
      <c r="Q35" s="14">
        <f t="shared" si="1"/>
        <v>45669</v>
      </c>
      <c r="R35" s="13">
        <f t="shared" si="2"/>
        <v>5057</v>
      </c>
      <c r="S35" s="15" t="str">
        <f t="shared" si="3"/>
        <v>During Campaign</v>
      </c>
      <c r="T35" s="16">
        <f t="shared" si="4"/>
        <v>29072</v>
      </c>
      <c r="U35" s="15">
        <f t="shared" si="5"/>
        <v>2</v>
      </c>
    </row>
    <row r="36" ht="14.25" customHeight="1">
      <c r="A36" s="9" t="s">
        <v>75</v>
      </c>
      <c r="B36" s="9" t="s">
        <v>22</v>
      </c>
      <c r="C36" s="10">
        <v>45750.0</v>
      </c>
      <c r="D36" s="10" t="str">
        <f>IF(
  AND(C36 &gt;= 'Campaign Metadata'!J$2, C36 &lt;= 'Campaign Metadata'!H$2),
  'Campaign Metadata'!A$2,
IF(
  AND(C36 &gt;= 'Campaign Metadata'!J$3, C36 &lt;= 'Campaign Metadata'!H$3),
  'Campaign Metadata'!A$3,
IF(
  AND(C36 &gt;= 'Campaign Metadata'!J$4, C36 &lt;= 'Campaign Metadata'!H$4),
  'Campaign Metadata'!A$4,
IF(
  AND(C36 &gt;= 'Campaign Metadata'!J$5, C36 &lt;= 'Campaign Metadata'!H$5),
  'Campaign Metadata'!A$5,
"Outside Campaign"
))))
</f>
        <v>Outside Campaign</v>
      </c>
      <c r="E36" s="9" t="s">
        <v>31</v>
      </c>
      <c r="F36" s="9" t="s">
        <v>32</v>
      </c>
      <c r="G36" s="11">
        <v>3767.0</v>
      </c>
      <c r="H36" s="11">
        <v>514.0</v>
      </c>
      <c r="I36" s="11">
        <v>238.0</v>
      </c>
      <c r="J36" s="11">
        <v>37670.0</v>
      </c>
      <c r="K36" s="11">
        <v>36807.0</v>
      </c>
      <c r="L36" s="11">
        <v>226.0</v>
      </c>
      <c r="M36" s="12" t="s">
        <v>38</v>
      </c>
      <c r="N36" s="12" t="s">
        <v>26</v>
      </c>
      <c r="O36" s="12" t="s">
        <v>26</v>
      </c>
      <c r="P36" s="13">
        <v>0.1199628351473321</v>
      </c>
      <c r="Q36" s="14">
        <f t="shared" si="1"/>
        <v>45750</v>
      </c>
      <c r="R36" s="13">
        <f t="shared" si="2"/>
        <v>4519</v>
      </c>
      <c r="S36" s="15" t="str">
        <f t="shared" si="3"/>
        <v>Before Campaign</v>
      </c>
      <c r="T36" s="16">
        <f t="shared" si="4"/>
        <v>-4243</v>
      </c>
      <c r="U36" s="15">
        <f t="shared" si="5"/>
        <v>14</v>
      </c>
    </row>
    <row r="37" ht="14.25" customHeight="1">
      <c r="A37" s="9" t="s">
        <v>76</v>
      </c>
      <c r="B37" s="9" t="s">
        <v>22</v>
      </c>
      <c r="C37" s="10">
        <v>45531.0</v>
      </c>
      <c r="D37" s="10" t="str">
        <f>IF(
  AND(C37 &gt;= 'Campaign Metadata'!J$2, C37 &lt;= 'Campaign Metadata'!H$2),
  'Campaign Metadata'!A$2,
IF(
  AND(C37 &gt;= 'Campaign Metadata'!J$3, C37 &lt;= 'Campaign Metadata'!H$3),
  'Campaign Metadata'!A$3,
IF(
  AND(C37 &gt;= 'Campaign Metadata'!J$4, C37 &lt;= 'Campaign Metadata'!H$4),
  'Campaign Metadata'!A$4,
IF(
  AND(C37 &gt;= 'Campaign Metadata'!J$5, C37 &lt;= 'Campaign Metadata'!H$5),
  'Campaign Metadata'!A$5,
"Outside Campaign"
))))
</f>
        <v>SummerSplash</v>
      </c>
      <c r="E37" s="9" t="s">
        <v>50</v>
      </c>
      <c r="F37" s="9" t="s">
        <v>51</v>
      </c>
      <c r="G37" s="11">
        <v>3960.0</v>
      </c>
      <c r="H37" s="11">
        <v>266.0</v>
      </c>
      <c r="I37" s="11">
        <v>8.0</v>
      </c>
      <c r="J37" s="11">
        <v>35640.0</v>
      </c>
      <c r="K37" s="11">
        <v>34850.0</v>
      </c>
      <c r="L37" s="11">
        <v>208.0</v>
      </c>
      <c r="M37" s="12" t="s">
        <v>38</v>
      </c>
      <c r="N37" s="12" t="s">
        <v>33</v>
      </c>
      <c r="O37" s="12" t="s">
        <v>77</v>
      </c>
      <c r="P37" s="13">
        <v>0.11879910213243547</v>
      </c>
      <c r="Q37" s="14">
        <f t="shared" si="1"/>
        <v>45531</v>
      </c>
      <c r="R37" s="13">
        <f t="shared" si="2"/>
        <v>4234</v>
      </c>
      <c r="S37" s="15" t="str">
        <f t="shared" si="3"/>
        <v>During Campaign</v>
      </c>
      <c r="T37" s="16">
        <f t="shared" si="4"/>
        <v>-1957</v>
      </c>
      <c r="U37" s="15">
        <f t="shared" si="5"/>
        <v>35</v>
      </c>
    </row>
    <row r="38" ht="14.25" customHeight="1">
      <c r="A38" s="9" t="s">
        <v>78</v>
      </c>
      <c r="B38" s="9" t="s">
        <v>22</v>
      </c>
      <c r="C38" s="10">
        <v>45573.0</v>
      </c>
      <c r="D38" s="10" t="str">
        <f>IF(
  AND(C38 &gt;= 'Campaign Metadata'!J$2, C38 &lt;= 'Campaign Metadata'!H$2),
  'Campaign Metadata'!A$2,
IF(
  AND(C38 &gt;= 'Campaign Metadata'!J$3, C38 &lt;= 'Campaign Metadata'!H$3),
  'Campaign Metadata'!A$3,
IF(
  AND(C38 &gt;= 'Campaign Metadata'!J$4, C38 &lt;= 'Campaign Metadata'!H$4),
  'Campaign Metadata'!A$4,
IF(
  AND(C38 &gt;= 'Campaign Metadata'!J$5, C38 &lt;= 'Campaign Metadata'!H$5),
  'Campaign Metadata'!A$5,
"Outside Campaign"
))))
</f>
        <v>FestiveRadiance</v>
      </c>
      <c r="E38" s="9" t="s">
        <v>50</v>
      </c>
      <c r="F38" s="9" t="s">
        <v>51</v>
      </c>
      <c r="G38" s="11">
        <v>1814.0</v>
      </c>
      <c r="H38" s="11">
        <v>653.0</v>
      </c>
      <c r="I38" s="11">
        <v>363.0</v>
      </c>
      <c r="J38" s="11">
        <v>25396.0</v>
      </c>
      <c r="K38" s="11">
        <v>25286.0</v>
      </c>
      <c r="L38" s="11">
        <v>39.0</v>
      </c>
      <c r="M38" s="12" t="s">
        <v>38</v>
      </c>
      <c r="N38" s="12" t="s">
        <v>61</v>
      </c>
      <c r="O38" s="12" t="s">
        <v>26</v>
      </c>
      <c r="P38" s="13">
        <v>0.11143487163332809</v>
      </c>
      <c r="Q38" s="14">
        <f t="shared" si="1"/>
        <v>45573</v>
      </c>
      <c r="R38" s="13">
        <f t="shared" si="2"/>
        <v>2830</v>
      </c>
      <c r="S38" s="15" t="str">
        <f t="shared" si="3"/>
        <v>During Campaign</v>
      </c>
      <c r="T38" s="16">
        <f t="shared" si="4"/>
        <v>-9564</v>
      </c>
      <c r="U38" s="15">
        <f t="shared" si="5"/>
        <v>41</v>
      </c>
    </row>
    <row r="39" ht="14.25" customHeight="1">
      <c r="A39" s="9" t="s">
        <v>79</v>
      </c>
      <c r="B39" s="9" t="s">
        <v>22</v>
      </c>
      <c r="C39" s="10">
        <v>45587.0</v>
      </c>
      <c r="D39" s="10" t="str">
        <f>IF(
  AND(C39 &gt;= 'Campaign Metadata'!J$2, C39 &lt;= 'Campaign Metadata'!H$2),
  'Campaign Metadata'!A$2,
IF(
  AND(C39 &gt;= 'Campaign Metadata'!J$3, C39 &lt;= 'Campaign Metadata'!H$3),
  'Campaign Metadata'!A$3,
IF(
  AND(C39 &gt;= 'Campaign Metadata'!J$4, C39 &lt;= 'Campaign Metadata'!H$4),
  'Campaign Metadata'!A$4,
IF(
  AND(C39 &gt;= 'Campaign Metadata'!J$5, C39 &lt;= 'Campaign Metadata'!H$5),
  'Campaign Metadata'!A$5,
"Outside Campaign"
))))
</f>
        <v>FestiveRadiance</v>
      </c>
      <c r="E39" s="9" t="s">
        <v>47</v>
      </c>
      <c r="F39" s="9" t="s">
        <v>48</v>
      </c>
      <c r="G39" s="11">
        <v>3352.0</v>
      </c>
      <c r="H39" s="11">
        <v>941.0</v>
      </c>
      <c r="I39" s="11">
        <v>482.0</v>
      </c>
      <c r="J39" s="11">
        <v>43576.0</v>
      </c>
      <c r="K39" s="11">
        <v>43338.0</v>
      </c>
      <c r="L39" s="11">
        <v>240.0</v>
      </c>
      <c r="M39" s="12" t="s">
        <v>38</v>
      </c>
      <c r="N39" s="12" t="s">
        <v>26</v>
      </c>
      <c r="O39" s="12" t="s">
        <v>26</v>
      </c>
      <c r="P39" s="13">
        <v>0.1095786671562328</v>
      </c>
      <c r="Q39" s="14">
        <f t="shared" si="1"/>
        <v>45587</v>
      </c>
      <c r="R39" s="13">
        <f t="shared" si="2"/>
        <v>4775</v>
      </c>
      <c r="S39" s="15" t="str">
        <f t="shared" si="3"/>
        <v>During Campaign</v>
      </c>
      <c r="T39" s="16">
        <f t="shared" si="4"/>
        <v>18052</v>
      </c>
      <c r="U39" s="15">
        <f t="shared" si="5"/>
        <v>43</v>
      </c>
    </row>
    <row r="40" ht="14.25" customHeight="1">
      <c r="A40" s="9" t="s">
        <v>80</v>
      </c>
      <c r="B40" s="9" t="s">
        <v>22</v>
      </c>
      <c r="C40" s="10">
        <v>45504.0</v>
      </c>
      <c r="D40" s="10" t="str">
        <f>IF(
  AND(C40 &gt;= 'Campaign Metadata'!J$2, C40 &lt;= 'Campaign Metadata'!H$2),
  'Campaign Metadata'!A$2,
IF(
  AND(C40 &gt;= 'Campaign Metadata'!J$3, C40 &lt;= 'Campaign Metadata'!H$3),
  'Campaign Metadata'!A$3,
IF(
  AND(C40 &gt;= 'Campaign Metadata'!J$4, C40 &lt;= 'Campaign Metadata'!H$4),
  'Campaign Metadata'!A$4,
IF(
  AND(C40 &gt;= 'Campaign Metadata'!J$5, C40 &lt;= 'Campaign Metadata'!H$5),
  'Campaign Metadata'!A$5,
"Outside Campaign"
))))
</f>
        <v>SummerSplash</v>
      </c>
      <c r="E40" s="9" t="s">
        <v>28</v>
      </c>
      <c r="F40" s="9" t="s">
        <v>29</v>
      </c>
      <c r="G40" s="11">
        <v>4689.0</v>
      </c>
      <c r="H40" s="11">
        <v>134.0</v>
      </c>
      <c r="I40" s="11">
        <v>403.0</v>
      </c>
      <c r="J40" s="11">
        <v>51579.0</v>
      </c>
      <c r="K40" s="11">
        <v>50924.0</v>
      </c>
      <c r="L40" s="11">
        <v>173.0</v>
      </c>
      <c r="M40" s="12" t="s">
        <v>25</v>
      </c>
      <c r="N40" s="12" t="s">
        <v>26</v>
      </c>
      <c r="O40" s="12" t="s">
        <v>26</v>
      </c>
      <c r="P40" s="13">
        <v>0.10132030477519921</v>
      </c>
      <c r="Q40" s="14">
        <f t="shared" si="1"/>
        <v>45504</v>
      </c>
      <c r="R40" s="13">
        <f t="shared" si="2"/>
        <v>5226</v>
      </c>
      <c r="S40" s="15" t="str">
        <f t="shared" si="3"/>
        <v>During Campaign</v>
      </c>
      <c r="T40" s="16">
        <f t="shared" si="4"/>
        <v>7586</v>
      </c>
      <c r="U40" s="15">
        <f t="shared" si="5"/>
        <v>31</v>
      </c>
    </row>
    <row r="41" ht="14.25" customHeight="1">
      <c r="A41" s="9" t="s">
        <v>81</v>
      </c>
      <c r="B41" s="9" t="s">
        <v>22</v>
      </c>
      <c r="C41" s="10">
        <v>45621.0</v>
      </c>
      <c r="D41" s="10" t="str">
        <f>IF(
  AND(C41 &gt;= 'Campaign Metadata'!J$2, C41 &lt;= 'Campaign Metadata'!H$2),
  'Campaign Metadata'!A$2,
IF(
  AND(C41 &gt;= 'Campaign Metadata'!J$3, C41 &lt;= 'Campaign Metadata'!H$3),
  'Campaign Metadata'!A$3,
IF(
  AND(C41 &gt;= 'Campaign Metadata'!J$4, C41 &lt;= 'Campaign Metadata'!H$4),
  'Campaign Metadata'!A$4,
IF(
  AND(C41 &gt;= 'Campaign Metadata'!J$5, C41 &lt;= 'Campaign Metadata'!H$5),
  'Campaign Metadata'!A$5,
"Outside Campaign"
))))
</f>
        <v>FestiveRadiance</v>
      </c>
      <c r="E41" s="9" t="s">
        <v>31</v>
      </c>
      <c r="F41" s="9" t="s">
        <v>32</v>
      </c>
      <c r="G41" s="11">
        <v>4182.0</v>
      </c>
      <c r="H41" s="11">
        <v>640.0</v>
      </c>
      <c r="I41" s="11">
        <v>240.0</v>
      </c>
      <c r="J41" s="11">
        <v>50184.0</v>
      </c>
      <c r="K41" s="11">
        <v>49351.0</v>
      </c>
      <c r="L41" s="11">
        <v>10.0</v>
      </c>
      <c r="M41" s="12" t="s">
        <v>25</v>
      </c>
      <c r="N41" s="12" t="s">
        <v>26</v>
      </c>
      <c r="O41" s="12" t="s">
        <v>26</v>
      </c>
      <c r="P41" s="13">
        <v>0.10086880280567512</v>
      </c>
      <c r="Q41" s="14">
        <f t="shared" si="1"/>
        <v>45621</v>
      </c>
      <c r="R41" s="13">
        <f t="shared" si="2"/>
        <v>5062</v>
      </c>
      <c r="S41" s="15" t="str">
        <f t="shared" si="3"/>
        <v>During Campaign</v>
      </c>
      <c r="T41" s="16">
        <f t="shared" si="4"/>
        <v>-1573</v>
      </c>
      <c r="U41" s="15">
        <f t="shared" si="5"/>
        <v>48</v>
      </c>
    </row>
    <row r="42" ht="14.25" customHeight="1">
      <c r="A42" s="9" t="s">
        <v>82</v>
      </c>
      <c r="B42" s="9" t="s">
        <v>22</v>
      </c>
      <c r="C42" s="10">
        <v>45454.0</v>
      </c>
      <c r="D42" s="10" t="str">
        <f>IF(
  AND(C42 &gt;= 'Campaign Metadata'!J$2, C42 &lt;= 'Campaign Metadata'!H$2),
  'Campaign Metadata'!A$2,
IF(
  AND(C42 &gt;= 'Campaign Metadata'!J$3, C42 &lt;= 'Campaign Metadata'!H$3),
  'Campaign Metadata'!A$3,
IF(
  AND(C42 &gt;= 'Campaign Metadata'!J$4, C42 &lt;= 'Campaign Metadata'!H$4),
  'Campaign Metadata'!A$4,
IF(
  AND(C42 &gt;= 'Campaign Metadata'!J$5, C42 &lt;= 'Campaign Metadata'!H$5),
  'Campaign Metadata'!A$5,
"Outside Campaign"
))))
</f>
        <v>SummerSplash</v>
      </c>
      <c r="E42" s="9" t="s">
        <v>28</v>
      </c>
      <c r="F42" s="9" t="s">
        <v>29</v>
      </c>
      <c r="G42" s="11">
        <v>3689.0</v>
      </c>
      <c r="H42" s="11">
        <v>48.0</v>
      </c>
      <c r="I42" s="11">
        <v>306.0</v>
      </c>
      <c r="J42" s="11">
        <v>40579.0</v>
      </c>
      <c r="K42" s="11">
        <v>39588.0</v>
      </c>
      <c r="L42" s="11">
        <v>212.0</v>
      </c>
      <c r="M42" s="12" t="s">
        <v>33</v>
      </c>
      <c r="N42" s="12" t="s">
        <v>26</v>
      </c>
      <c r="O42" s="12" t="s">
        <v>26</v>
      </c>
      <c r="P42" s="13">
        <v>0.09963281500283398</v>
      </c>
      <c r="Q42" s="14">
        <f t="shared" si="1"/>
        <v>45454</v>
      </c>
      <c r="R42" s="13">
        <f t="shared" si="2"/>
        <v>4043</v>
      </c>
      <c r="S42" s="15" t="str">
        <f t="shared" si="3"/>
        <v>During Campaign</v>
      </c>
      <c r="T42" s="16">
        <f t="shared" si="4"/>
        <v>-9763</v>
      </c>
      <c r="U42" s="15">
        <f t="shared" si="5"/>
        <v>24</v>
      </c>
    </row>
    <row r="43" ht="14.25" customHeight="1">
      <c r="A43" s="9" t="s">
        <v>83</v>
      </c>
      <c r="B43" s="9" t="s">
        <v>22</v>
      </c>
      <c r="C43" s="10">
        <v>45782.0</v>
      </c>
      <c r="D43" s="10" t="str">
        <f>IF(
  AND(C43 &gt;= 'Campaign Metadata'!J$2, C43 &lt;= 'Campaign Metadata'!H$2),
  'Campaign Metadata'!A$2,
IF(
  AND(C43 &gt;= 'Campaign Metadata'!J$3, C43 &lt;= 'Campaign Metadata'!H$3),
  'Campaign Metadata'!A$3,
IF(
  AND(C43 &gt;= 'Campaign Metadata'!J$4, C43 &lt;= 'Campaign Metadata'!H$4),
  'Campaign Metadata'!A$4,
IF(
  AND(C43 &gt;= 'Campaign Metadata'!J$5, C43 &lt;= 'Campaign Metadata'!H$5),
  'Campaign Metadata'!A$5,
"Outside Campaign"
))))
</f>
        <v>Outside Campaign</v>
      </c>
      <c r="E43" s="9" t="s">
        <v>35</v>
      </c>
      <c r="F43" s="9" t="s">
        <v>36</v>
      </c>
      <c r="G43" s="11">
        <v>4441.0</v>
      </c>
      <c r="H43" s="11">
        <v>511.0</v>
      </c>
      <c r="I43" s="11">
        <v>70.0</v>
      </c>
      <c r="J43" s="11">
        <v>53292.0</v>
      </c>
      <c r="K43" s="11">
        <v>53082.0</v>
      </c>
      <c r="L43" s="11">
        <v>159.0</v>
      </c>
      <c r="M43" s="12" t="s">
        <v>33</v>
      </c>
      <c r="N43" s="12" t="s">
        <v>26</v>
      </c>
      <c r="O43" s="12" t="s">
        <v>26</v>
      </c>
      <c r="P43" s="13">
        <v>0.09423553253771673</v>
      </c>
      <c r="Q43" s="14">
        <f t="shared" si="1"/>
        <v>45782</v>
      </c>
      <c r="R43" s="13">
        <f t="shared" si="2"/>
        <v>5022</v>
      </c>
      <c r="S43" s="15" t="str">
        <f t="shared" si="3"/>
        <v>Before Campaign</v>
      </c>
      <c r="T43" s="16">
        <f t="shared" si="4"/>
        <v>13494</v>
      </c>
      <c r="U43" s="15">
        <f t="shared" si="5"/>
        <v>19</v>
      </c>
    </row>
    <row r="44" ht="14.25" customHeight="1">
      <c r="A44" s="9" t="s">
        <v>84</v>
      </c>
      <c r="B44" s="9" t="s">
        <v>22</v>
      </c>
      <c r="C44" s="10">
        <v>45460.0</v>
      </c>
      <c r="D44" s="10" t="str">
        <f>IF(
  AND(C44 &gt;= 'Campaign Metadata'!J$2, C44 &lt;= 'Campaign Metadata'!H$2),
  'Campaign Metadata'!A$2,
IF(
  AND(C44 &gt;= 'Campaign Metadata'!J$3, C44 &lt;= 'Campaign Metadata'!H$3),
  'Campaign Metadata'!A$3,
IF(
  AND(C44 &gt;= 'Campaign Metadata'!J$4, C44 &lt;= 'Campaign Metadata'!H$4),
  'Campaign Metadata'!A$4,
IF(
  AND(C44 &gt;= 'Campaign Metadata'!J$5, C44 &lt;= 'Campaign Metadata'!H$5),
  'Campaign Metadata'!A$5,
"Outside Campaign"
))))
</f>
        <v>SummerSplash</v>
      </c>
      <c r="E44" s="9" t="s">
        <v>28</v>
      </c>
      <c r="F44" s="9" t="s">
        <v>29</v>
      </c>
      <c r="G44" s="11">
        <v>1226.0</v>
      </c>
      <c r="H44" s="11">
        <v>119.0</v>
      </c>
      <c r="I44" s="11">
        <v>7.0</v>
      </c>
      <c r="J44" s="11">
        <v>14712.0</v>
      </c>
      <c r="K44" s="11">
        <v>14049.0</v>
      </c>
      <c r="L44" s="11">
        <v>123.0</v>
      </c>
      <c r="M44" s="12" t="s">
        <v>33</v>
      </c>
      <c r="N44" s="12" t="s">
        <v>26</v>
      </c>
      <c r="O44" s="12" t="s">
        <v>26</v>
      </c>
      <c r="P44" s="13">
        <v>0.09189777052746058</v>
      </c>
      <c r="Q44" s="14">
        <f t="shared" si="1"/>
        <v>45460</v>
      </c>
      <c r="R44" s="13">
        <f t="shared" si="2"/>
        <v>1352</v>
      </c>
      <c r="S44" s="15" t="str">
        <f t="shared" si="3"/>
        <v>During Campaign</v>
      </c>
      <c r="T44" s="16">
        <f t="shared" si="4"/>
        <v>-39033</v>
      </c>
      <c r="U44" s="15">
        <f t="shared" si="5"/>
        <v>25</v>
      </c>
    </row>
    <row r="45" ht="14.25" customHeight="1">
      <c r="A45" s="9" t="s">
        <v>85</v>
      </c>
      <c r="B45" s="9" t="s">
        <v>22</v>
      </c>
      <c r="C45" s="10">
        <v>45534.0</v>
      </c>
      <c r="D45" s="10" t="str">
        <f>IF(
  AND(C45 &gt;= 'Campaign Metadata'!J$2, C45 &lt;= 'Campaign Metadata'!H$2),
  'Campaign Metadata'!A$2,
IF(
  AND(C45 &gt;= 'Campaign Metadata'!J$3, C45 &lt;= 'Campaign Metadata'!H$3),
  'Campaign Metadata'!A$3,
IF(
  AND(C45 &gt;= 'Campaign Metadata'!J$4, C45 &lt;= 'Campaign Metadata'!H$4),
  'Campaign Metadata'!A$4,
IF(
  AND(C45 &gt;= 'Campaign Metadata'!J$5, C45 &lt;= 'Campaign Metadata'!H$5),
  'Campaign Metadata'!A$5,
"Outside Campaign"
))))
</f>
        <v>SummerSplash</v>
      </c>
      <c r="E45" s="9" t="s">
        <v>35</v>
      </c>
      <c r="F45" s="9" t="s">
        <v>36</v>
      </c>
      <c r="G45" s="11">
        <v>3784.0</v>
      </c>
      <c r="H45" s="11">
        <v>808.0</v>
      </c>
      <c r="I45" s="11">
        <v>404.0</v>
      </c>
      <c r="J45" s="11">
        <v>56760.0</v>
      </c>
      <c r="K45" s="11">
        <v>56343.0</v>
      </c>
      <c r="L45" s="11">
        <v>131.0</v>
      </c>
      <c r="M45" s="12" t="s">
        <v>25</v>
      </c>
      <c r="N45" s="12" t="s">
        <v>26</v>
      </c>
      <c r="O45" s="12" t="s">
        <v>26</v>
      </c>
      <c r="P45" s="13">
        <v>0.08801973220577872</v>
      </c>
      <c r="Q45" s="14">
        <f t="shared" si="1"/>
        <v>45534</v>
      </c>
      <c r="R45" s="13">
        <f t="shared" si="2"/>
        <v>4996</v>
      </c>
      <c r="S45" s="15" t="str">
        <f t="shared" si="3"/>
        <v>During Campaign</v>
      </c>
      <c r="T45" s="16">
        <f t="shared" si="4"/>
        <v>42294</v>
      </c>
      <c r="U45" s="15">
        <f t="shared" si="5"/>
        <v>35</v>
      </c>
    </row>
    <row r="46" ht="14.25" customHeight="1">
      <c r="A46" s="9" t="s">
        <v>86</v>
      </c>
      <c r="B46" s="9" t="s">
        <v>22</v>
      </c>
      <c r="C46" s="10">
        <v>45635.0</v>
      </c>
      <c r="D46" s="10" t="str">
        <f>IF(
  AND(C46 &gt;= 'Campaign Metadata'!J$2, C46 &lt;= 'Campaign Metadata'!H$2),
  'Campaign Metadata'!A$2,
IF(
  AND(C46 &gt;= 'Campaign Metadata'!J$3, C46 &lt;= 'Campaign Metadata'!H$3),
  'Campaign Metadata'!A$3,
IF(
  AND(C46 &gt;= 'Campaign Metadata'!J$4, C46 &lt;= 'Campaign Metadata'!H$4),
  'Campaign Metadata'!A$4,
IF(
  AND(C46 &gt;= 'Campaign Metadata'!J$5, C46 &lt;= 'Campaign Metadata'!H$5),
  'Campaign Metadata'!A$5,
"Outside Campaign"
))))
</f>
        <v>FestiveRadiance</v>
      </c>
      <c r="E46" s="9" t="s">
        <v>28</v>
      </c>
      <c r="F46" s="9" t="s">
        <v>29</v>
      </c>
      <c r="G46" s="11">
        <v>1841.0</v>
      </c>
      <c r="H46" s="11">
        <v>851.0</v>
      </c>
      <c r="I46" s="11">
        <v>342.0</v>
      </c>
      <c r="J46" s="11">
        <v>34979.0</v>
      </c>
      <c r="K46" s="11">
        <v>34154.0</v>
      </c>
      <c r="L46" s="11">
        <v>255.0</v>
      </c>
      <c r="M46" s="12" t="s">
        <v>38</v>
      </c>
      <c r="N46" s="12" t="s">
        <v>26</v>
      </c>
      <c r="O46" s="12" t="s">
        <v>26</v>
      </c>
      <c r="P46" s="13">
        <v>0.08673775693987822</v>
      </c>
      <c r="Q46" s="14">
        <f t="shared" si="1"/>
        <v>45635</v>
      </c>
      <c r="R46" s="13">
        <f t="shared" si="2"/>
        <v>3034</v>
      </c>
      <c r="S46" s="15" t="str">
        <f t="shared" si="3"/>
        <v>During Campaign</v>
      </c>
      <c r="T46" s="16">
        <f t="shared" si="4"/>
        <v>-22189</v>
      </c>
      <c r="U46" s="15">
        <f t="shared" si="5"/>
        <v>50</v>
      </c>
    </row>
    <row r="47" ht="14.25" customHeight="1">
      <c r="A47" s="9" t="s">
        <v>87</v>
      </c>
      <c r="B47" s="9" t="s">
        <v>22</v>
      </c>
      <c r="C47" s="10">
        <v>45748.0</v>
      </c>
      <c r="D47" s="10" t="str">
        <f>IF(
  AND(C47 &gt;= 'Campaign Metadata'!J$2, C47 &lt;= 'Campaign Metadata'!H$2),
  'Campaign Metadata'!A$2,
IF(
  AND(C47 &gt;= 'Campaign Metadata'!J$3, C47 &lt;= 'Campaign Metadata'!H$3),
  'Campaign Metadata'!A$3,
IF(
  AND(C47 &gt;= 'Campaign Metadata'!J$4, C47 &lt;= 'Campaign Metadata'!H$4),
  'Campaign Metadata'!A$4,
IF(
  AND(C47 &gt;= 'Campaign Metadata'!J$5, C47 &lt;= 'Campaign Metadata'!H$5),
  'Campaign Metadata'!A$5,
"Outside Campaign"
))))
</f>
        <v>Outside Campaign</v>
      </c>
      <c r="E47" s="9" t="s">
        <v>31</v>
      </c>
      <c r="F47" s="9" t="s">
        <v>32</v>
      </c>
      <c r="G47" s="11">
        <v>3430.0</v>
      </c>
      <c r="H47" s="11">
        <v>566.0</v>
      </c>
      <c r="I47" s="11">
        <v>164.0</v>
      </c>
      <c r="J47" s="11">
        <v>48020.0</v>
      </c>
      <c r="K47" s="11">
        <v>47305.0</v>
      </c>
      <c r="L47" s="11">
        <v>120.0</v>
      </c>
      <c r="M47" s="12" t="s">
        <v>38</v>
      </c>
      <c r="N47" s="12" t="s">
        <v>26</v>
      </c>
      <c r="O47" s="12" t="s">
        <v>26</v>
      </c>
      <c r="P47" s="13">
        <v>0.08663057059558517</v>
      </c>
      <c r="Q47" s="14">
        <f t="shared" si="1"/>
        <v>45748</v>
      </c>
      <c r="R47" s="13">
        <f t="shared" si="2"/>
        <v>4160</v>
      </c>
      <c r="S47" s="15" t="str">
        <f t="shared" si="3"/>
        <v>Before Campaign</v>
      </c>
      <c r="T47" s="16">
        <f t="shared" si="4"/>
        <v>13151</v>
      </c>
      <c r="U47" s="15">
        <f t="shared" si="5"/>
        <v>14</v>
      </c>
    </row>
    <row r="48" ht="14.25" customHeight="1">
      <c r="A48" s="9" t="s">
        <v>88</v>
      </c>
      <c r="B48" s="9" t="s">
        <v>22</v>
      </c>
      <c r="C48" s="10">
        <v>45528.0</v>
      </c>
      <c r="D48" s="10" t="str">
        <f>IF(
  AND(C48 &gt;= 'Campaign Metadata'!J$2, C48 &lt;= 'Campaign Metadata'!H$2),
  'Campaign Metadata'!A$2,
IF(
  AND(C48 &gt;= 'Campaign Metadata'!J$3, C48 &lt;= 'Campaign Metadata'!H$3),
  'Campaign Metadata'!A$3,
IF(
  AND(C48 &gt;= 'Campaign Metadata'!J$4, C48 &lt;= 'Campaign Metadata'!H$4),
  'Campaign Metadata'!A$4,
IF(
  AND(C48 &gt;= 'Campaign Metadata'!J$5, C48 &lt;= 'Campaign Metadata'!H$5),
  'Campaign Metadata'!A$5,
"Outside Campaign"
))))
</f>
        <v>SummerSplash</v>
      </c>
      <c r="E48" s="9" t="s">
        <v>47</v>
      </c>
      <c r="F48" s="9" t="s">
        <v>48</v>
      </c>
      <c r="G48" s="11">
        <v>4292.0</v>
      </c>
      <c r="H48" s="11">
        <v>51.0</v>
      </c>
      <c r="I48" s="11">
        <v>392.0</v>
      </c>
      <c r="J48" s="11">
        <v>55796.0</v>
      </c>
      <c r="K48" s="11">
        <v>54826.0</v>
      </c>
      <c r="L48" s="11">
        <v>264.0</v>
      </c>
      <c r="M48" s="12" t="s">
        <v>33</v>
      </c>
      <c r="N48" s="12" t="s">
        <v>26</v>
      </c>
      <c r="O48" s="12" t="s">
        <v>26</v>
      </c>
      <c r="P48" s="13">
        <v>0.084862714173059</v>
      </c>
      <c r="Q48" s="14">
        <f t="shared" si="1"/>
        <v>45528</v>
      </c>
      <c r="R48" s="13">
        <f t="shared" si="2"/>
        <v>4735</v>
      </c>
      <c r="S48" s="15" t="str">
        <f t="shared" si="3"/>
        <v>During Campaign</v>
      </c>
      <c r="T48" s="16">
        <f t="shared" si="4"/>
        <v>7521</v>
      </c>
      <c r="U48" s="15">
        <f t="shared" si="5"/>
        <v>34</v>
      </c>
    </row>
    <row r="49" ht="14.25" customHeight="1">
      <c r="A49" s="9" t="s">
        <v>89</v>
      </c>
      <c r="B49" s="9" t="s">
        <v>22</v>
      </c>
      <c r="C49" s="10">
        <v>45778.0</v>
      </c>
      <c r="D49" s="10" t="str">
        <f>IF(
  AND(C49 &gt;= 'Campaign Metadata'!J$2, C49 &lt;= 'Campaign Metadata'!H$2),
  'Campaign Metadata'!A$2,
IF(
  AND(C49 &gt;= 'Campaign Metadata'!J$3, C49 &lt;= 'Campaign Metadata'!H$3),
  'Campaign Metadata'!A$3,
IF(
  AND(C49 &gt;= 'Campaign Metadata'!J$4, C49 &lt;= 'Campaign Metadata'!H$4),
  'Campaign Metadata'!A$4,
IF(
  AND(C49 &gt;= 'Campaign Metadata'!J$5, C49 &lt;= 'Campaign Metadata'!H$5),
  'Campaign Metadata'!A$5,
"Outside Campaign"
))))
</f>
        <v>Outside Campaign</v>
      </c>
      <c r="E49" s="9" t="s">
        <v>47</v>
      </c>
      <c r="F49" s="9" t="s">
        <v>48</v>
      </c>
      <c r="G49" s="11">
        <v>2696.0</v>
      </c>
      <c r="H49" s="11">
        <v>628.0</v>
      </c>
      <c r="I49" s="11">
        <v>443.0</v>
      </c>
      <c r="J49" s="11">
        <v>45832.0</v>
      </c>
      <c r="K49" s="11">
        <v>45632.0</v>
      </c>
      <c r="L49" s="11">
        <v>248.0</v>
      </c>
      <c r="M49" s="12" t="s">
        <v>33</v>
      </c>
      <c r="N49" s="12" t="s">
        <v>26</v>
      </c>
      <c r="O49" s="12" t="s">
        <v>26</v>
      </c>
      <c r="P49" s="13">
        <v>0.0821914819340199</v>
      </c>
      <c r="Q49" s="14">
        <f t="shared" si="1"/>
        <v>45778</v>
      </c>
      <c r="R49" s="13">
        <f t="shared" si="2"/>
        <v>3767</v>
      </c>
      <c r="S49" s="15" t="str">
        <f t="shared" si="3"/>
        <v>Before Campaign</v>
      </c>
      <c r="T49" s="16">
        <f t="shared" si="4"/>
        <v>-9194</v>
      </c>
      <c r="U49" s="15">
        <f t="shared" si="5"/>
        <v>18</v>
      </c>
    </row>
    <row r="50" ht="14.25" customHeight="1">
      <c r="A50" s="9" t="s">
        <v>90</v>
      </c>
      <c r="B50" s="9" t="s">
        <v>22</v>
      </c>
      <c r="C50" s="10">
        <v>45445.0</v>
      </c>
      <c r="D50" s="10" t="str">
        <f>IF(
  AND(C50 &gt;= 'Campaign Metadata'!J$2, C50 &lt;= 'Campaign Metadata'!H$2),
  'Campaign Metadata'!A$2,
IF(
  AND(C50 &gt;= 'Campaign Metadata'!J$3, C50 &lt;= 'Campaign Metadata'!H$3),
  'Campaign Metadata'!A$3,
IF(
  AND(C50 &gt;= 'Campaign Metadata'!J$4, C50 &lt;= 'Campaign Metadata'!H$4),
  'Campaign Metadata'!A$4,
IF(
  AND(C50 &gt;= 'Campaign Metadata'!J$5, C50 &lt;= 'Campaign Metadata'!H$5),
  'Campaign Metadata'!A$5,
"Outside Campaign"
))))
</f>
        <v>SummerSplash</v>
      </c>
      <c r="E50" s="9" t="s">
        <v>28</v>
      </c>
      <c r="F50" s="9" t="s">
        <v>29</v>
      </c>
      <c r="G50" s="11">
        <v>1871.0</v>
      </c>
      <c r="H50" s="11">
        <v>252.0</v>
      </c>
      <c r="I50" s="11">
        <v>335.0</v>
      </c>
      <c r="J50" s="11">
        <v>29936.0</v>
      </c>
      <c r="K50" s="11">
        <v>29576.0</v>
      </c>
      <c r="L50" s="11">
        <v>288.0</v>
      </c>
      <c r="M50" s="12" t="s">
        <v>33</v>
      </c>
      <c r="N50" s="12" t="s">
        <v>26</v>
      </c>
      <c r="O50" s="12" t="s">
        <v>26</v>
      </c>
      <c r="P50" s="13">
        <v>0.0821084981293426</v>
      </c>
      <c r="Q50" s="14">
        <f t="shared" si="1"/>
        <v>45445</v>
      </c>
      <c r="R50" s="13">
        <f t="shared" si="2"/>
        <v>2458</v>
      </c>
      <c r="S50" s="15" t="str">
        <f t="shared" si="3"/>
        <v>During Campaign</v>
      </c>
      <c r="T50" s="16">
        <f t="shared" si="4"/>
        <v>-16056</v>
      </c>
      <c r="U50" s="15">
        <f t="shared" si="5"/>
        <v>22</v>
      </c>
    </row>
    <row r="51" ht="14.25" customHeight="1">
      <c r="A51" s="9" t="s">
        <v>91</v>
      </c>
      <c r="B51" s="9" t="s">
        <v>22</v>
      </c>
      <c r="C51" s="10">
        <v>45521.0</v>
      </c>
      <c r="D51" s="10" t="str">
        <f>IF(
  AND(C51 &gt;= 'Campaign Metadata'!J$2, C51 &lt;= 'Campaign Metadata'!H$2),
  'Campaign Metadata'!A$2,
IF(
  AND(C51 &gt;= 'Campaign Metadata'!J$3, C51 &lt;= 'Campaign Metadata'!H$3),
  'Campaign Metadata'!A$3,
IF(
  AND(C51 &gt;= 'Campaign Metadata'!J$4, C51 &lt;= 'Campaign Metadata'!H$4),
  'Campaign Metadata'!A$4,
IF(
  AND(C51 &gt;= 'Campaign Metadata'!J$5, C51 &lt;= 'Campaign Metadata'!H$5),
  'Campaign Metadata'!A$5,
"Outside Campaign"
))))
</f>
        <v>SummerSplash</v>
      </c>
      <c r="E51" s="9" t="s">
        <v>28</v>
      </c>
      <c r="F51" s="9" t="s">
        <v>29</v>
      </c>
      <c r="G51" s="11">
        <v>2878.0</v>
      </c>
      <c r="H51" s="11">
        <v>248.0</v>
      </c>
      <c r="I51" s="11">
        <v>416.0</v>
      </c>
      <c r="J51" s="11">
        <v>43170.0</v>
      </c>
      <c r="K51" s="11">
        <v>42667.0</v>
      </c>
      <c r="L51" s="11">
        <v>75.0</v>
      </c>
      <c r="M51" s="12" t="s">
        <v>38</v>
      </c>
      <c r="N51" s="12" t="s">
        <v>26</v>
      </c>
      <c r="O51" s="12" t="s">
        <v>26</v>
      </c>
      <c r="P51" s="13">
        <v>0.08204771832290943</v>
      </c>
      <c r="Q51" s="14">
        <f t="shared" si="1"/>
        <v>45521</v>
      </c>
      <c r="R51" s="13">
        <f t="shared" si="2"/>
        <v>3542</v>
      </c>
      <c r="S51" s="15" t="str">
        <f t="shared" si="3"/>
        <v>During Campaign</v>
      </c>
      <c r="T51" s="16">
        <f t="shared" si="4"/>
        <v>13091</v>
      </c>
      <c r="U51" s="15">
        <f t="shared" si="5"/>
        <v>33</v>
      </c>
    </row>
    <row r="52" ht="14.25" customHeight="1">
      <c r="A52" s="9" t="s">
        <v>92</v>
      </c>
      <c r="B52" s="9" t="s">
        <v>22</v>
      </c>
      <c r="C52" s="10">
        <v>45715.0</v>
      </c>
      <c r="D52" s="10" t="str">
        <f>IF(
  AND(C52 &gt;= 'Campaign Metadata'!J$2, C52 &lt;= 'Campaign Metadata'!H$2),
  'Campaign Metadata'!A$2,
IF(
  AND(C52 &gt;= 'Campaign Metadata'!J$3, C52 &lt;= 'Campaign Metadata'!H$3),
  'Campaign Metadata'!A$3,
IF(
  AND(C52 &gt;= 'Campaign Metadata'!J$4, C52 &lt;= 'Campaign Metadata'!H$4),
  'Campaign Metadata'!A$4,
IF(
  AND(C52 &gt;= 'Campaign Metadata'!J$5, C52 &lt;= 'Campaign Metadata'!H$5),
  'Campaign Metadata'!A$5,
"Outside Campaign"
))))
</f>
        <v>NewYearRefresh</v>
      </c>
      <c r="E52" s="9" t="s">
        <v>35</v>
      </c>
      <c r="F52" s="9" t="s">
        <v>36</v>
      </c>
      <c r="G52" s="11">
        <v>1570.0</v>
      </c>
      <c r="H52" s="11">
        <v>187.0</v>
      </c>
      <c r="I52" s="11">
        <v>260.0</v>
      </c>
      <c r="J52" s="11">
        <v>25120.0</v>
      </c>
      <c r="K52" s="11">
        <v>24613.0</v>
      </c>
      <c r="L52" s="11">
        <v>133.0</v>
      </c>
      <c r="M52" s="12" t="s">
        <v>25</v>
      </c>
      <c r="N52" s="12" t="s">
        <v>26</v>
      </c>
      <c r="O52" s="12" t="s">
        <v>26</v>
      </c>
      <c r="P52" s="13">
        <v>0.08029458598726115</v>
      </c>
      <c r="Q52" s="14">
        <f t="shared" si="1"/>
        <v>45715</v>
      </c>
      <c r="R52" s="13">
        <f t="shared" si="2"/>
        <v>2017</v>
      </c>
      <c r="S52" s="15" t="str">
        <f t="shared" si="3"/>
        <v>During Campaign</v>
      </c>
      <c r="T52" s="16">
        <f t="shared" si="4"/>
        <v>-18054</v>
      </c>
      <c r="U52" s="15">
        <f t="shared" si="5"/>
        <v>9</v>
      </c>
    </row>
    <row r="53" ht="14.25" customHeight="1">
      <c r="A53" s="9" t="s">
        <v>93</v>
      </c>
      <c r="B53" s="9" t="s">
        <v>22</v>
      </c>
      <c r="C53" s="10">
        <v>45600.0</v>
      </c>
      <c r="D53" s="10" t="str">
        <f>IF(
  AND(C53 &gt;= 'Campaign Metadata'!J$2, C53 &lt;= 'Campaign Metadata'!H$2),
  'Campaign Metadata'!A$2,
IF(
  AND(C53 &gt;= 'Campaign Metadata'!J$3, C53 &lt;= 'Campaign Metadata'!H$3),
  'Campaign Metadata'!A$3,
IF(
  AND(C53 &gt;= 'Campaign Metadata'!J$4, C53 &lt;= 'Campaign Metadata'!H$4),
  'Campaign Metadata'!A$4,
IF(
  AND(C53 &gt;= 'Campaign Metadata'!J$5, C53 &lt;= 'Campaign Metadata'!H$5),
  'Campaign Metadata'!A$5,
"Outside Campaign"
))))
</f>
        <v>FestiveRadiance</v>
      </c>
      <c r="E53" s="9" t="s">
        <v>28</v>
      </c>
      <c r="F53" s="9" t="s">
        <v>29</v>
      </c>
      <c r="G53" s="11">
        <v>4551.0</v>
      </c>
      <c r="H53" s="11">
        <v>714.0</v>
      </c>
      <c r="I53" s="11">
        <v>207.0</v>
      </c>
      <c r="J53" s="11">
        <v>68265.0</v>
      </c>
      <c r="K53" s="11">
        <v>67754.0</v>
      </c>
      <c r="L53" s="11">
        <v>57.0</v>
      </c>
      <c r="M53" s="12" t="s">
        <v>38</v>
      </c>
      <c r="N53" s="12" t="s">
        <v>26</v>
      </c>
      <c r="O53" s="12" t="s">
        <v>26</v>
      </c>
      <c r="P53" s="13">
        <v>0.08015820698747528</v>
      </c>
      <c r="Q53" s="14">
        <f t="shared" si="1"/>
        <v>45600</v>
      </c>
      <c r="R53" s="13">
        <f t="shared" si="2"/>
        <v>5472</v>
      </c>
      <c r="S53" s="15" t="str">
        <f t="shared" si="3"/>
        <v>During Campaign</v>
      </c>
      <c r="T53" s="16">
        <f t="shared" si="4"/>
        <v>43141</v>
      </c>
      <c r="U53" s="15">
        <f t="shared" si="5"/>
        <v>45</v>
      </c>
    </row>
    <row r="54" ht="14.25" customHeight="1">
      <c r="A54" s="9" t="s">
        <v>94</v>
      </c>
      <c r="B54" s="9" t="s">
        <v>22</v>
      </c>
      <c r="C54" s="10">
        <v>45753.0</v>
      </c>
      <c r="D54" s="10" t="str">
        <f>IF(
  AND(C54 &gt;= 'Campaign Metadata'!J$2, C54 &lt;= 'Campaign Metadata'!H$2),
  'Campaign Metadata'!A$2,
IF(
  AND(C54 &gt;= 'Campaign Metadata'!J$3, C54 &lt;= 'Campaign Metadata'!H$3),
  'Campaign Metadata'!A$3,
IF(
  AND(C54 &gt;= 'Campaign Metadata'!J$4, C54 &lt;= 'Campaign Metadata'!H$4),
  'Campaign Metadata'!A$4,
IF(
  AND(C54 &gt;= 'Campaign Metadata'!J$5, C54 &lt;= 'Campaign Metadata'!H$5),
  'Campaign Metadata'!A$5,
"Outside Campaign"
))))
</f>
        <v>Outside Campaign</v>
      </c>
      <c r="E54" s="9" t="s">
        <v>28</v>
      </c>
      <c r="F54" s="9" t="s">
        <v>29</v>
      </c>
      <c r="G54" s="11">
        <v>3090.0</v>
      </c>
      <c r="H54" s="11">
        <v>697.0</v>
      </c>
      <c r="I54" s="11">
        <v>164.0</v>
      </c>
      <c r="J54" s="11">
        <v>49440.0</v>
      </c>
      <c r="K54" s="11">
        <v>48524.0</v>
      </c>
      <c r="L54" s="11">
        <v>25.0</v>
      </c>
      <c r="M54" s="12" t="s">
        <v>33</v>
      </c>
      <c r="N54" s="12" t="s">
        <v>33</v>
      </c>
      <c r="O54" s="12" t="s">
        <v>77</v>
      </c>
      <c r="P54" s="13">
        <v>0.07991504854368932</v>
      </c>
      <c r="Q54" s="14">
        <f t="shared" si="1"/>
        <v>45753</v>
      </c>
      <c r="R54" s="13">
        <f t="shared" si="2"/>
        <v>3951</v>
      </c>
      <c r="S54" s="15" t="str">
        <f t="shared" si="3"/>
        <v>Before Campaign</v>
      </c>
      <c r="T54" s="16">
        <f t="shared" si="4"/>
        <v>-19230</v>
      </c>
      <c r="U54" s="15">
        <f t="shared" si="5"/>
        <v>14</v>
      </c>
    </row>
    <row r="55" ht="14.25" customHeight="1">
      <c r="A55" s="9" t="s">
        <v>95</v>
      </c>
      <c r="B55" s="9" t="s">
        <v>22</v>
      </c>
      <c r="C55" s="10">
        <v>45740.0</v>
      </c>
      <c r="D55" s="10" t="str">
        <f>IF(
  AND(C55 &gt;= 'Campaign Metadata'!J$2, C55 &lt;= 'Campaign Metadata'!H$2),
  'Campaign Metadata'!A$2,
IF(
  AND(C55 &gt;= 'Campaign Metadata'!J$3, C55 &lt;= 'Campaign Metadata'!H$3),
  'Campaign Metadata'!A$3,
IF(
  AND(C55 &gt;= 'Campaign Metadata'!J$4, C55 &lt;= 'Campaign Metadata'!H$4),
  'Campaign Metadata'!A$4,
IF(
  AND(C55 &gt;= 'Campaign Metadata'!J$5, C55 &lt;= 'Campaign Metadata'!H$5),
  'Campaign Metadata'!A$5,
"Outside Campaign"
))))
</f>
        <v>Outside Campaign</v>
      </c>
      <c r="E55" s="9" t="s">
        <v>28</v>
      </c>
      <c r="F55" s="9" t="s">
        <v>29</v>
      </c>
      <c r="G55" s="11">
        <v>1263.0</v>
      </c>
      <c r="H55" s="11">
        <v>397.0</v>
      </c>
      <c r="I55" s="11">
        <v>357.0</v>
      </c>
      <c r="J55" s="11">
        <v>25260.0</v>
      </c>
      <c r="K55" s="11">
        <v>24615.0</v>
      </c>
      <c r="L55" s="11">
        <v>137.0</v>
      </c>
      <c r="M55" s="12" t="s">
        <v>33</v>
      </c>
      <c r="N55" s="12" t="s">
        <v>26</v>
      </c>
      <c r="O55" s="12" t="s">
        <v>26</v>
      </c>
      <c r="P55" s="13">
        <v>0.07984956452889945</v>
      </c>
      <c r="Q55" s="14">
        <f t="shared" si="1"/>
        <v>45740</v>
      </c>
      <c r="R55" s="13">
        <f t="shared" si="2"/>
        <v>2017</v>
      </c>
      <c r="S55" s="15" t="str">
        <f t="shared" si="3"/>
        <v>Before Campaign</v>
      </c>
      <c r="T55" s="16">
        <f t="shared" si="4"/>
        <v>-23909</v>
      </c>
      <c r="U55" s="15">
        <f t="shared" si="5"/>
        <v>13</v>
      </c>
    </row>
    <row r="56" ht="14.25" customHeight="1">
      <c r="A56" s="9" t="s">
        <v>96</v>
      </c>
      <c r="B56" s="9" t="s">
        <v>22</v>
      </c>
      <c r="C56" s="10">
        <v>45456.0</v>
      </c>
      <c r="D56" s="10" t="str">
        <f>IF(
  AND(C56 &gt;= 'Campaign Metadata'!J$2, C56 &lt;= 'Campaign Metadata'!H$2),
  'Campaign Metadata'!A$2,
IF(
  AND(C56 &gt;= 'Campaign Metadata'!J$3, C56 &lt;= 'Campaign Metadata'!H$3),
  'Campaign Metadata'!A$3,
IF(
  AND(C56 &gt;= 'Campaign Metadata'!J$4, C56 &lt;= 'Campaign Metadata'!H$4),
  'Campaign Metadata'!A$4,
IF(
  AND(C56 &gt;= 'Campaign Metadata'!J$5, C56 &lt;= 'Campaign Metadata'!H$5),
  'Campaign Metadata'!A$5,
"Outside Campaign"
))))
</f>
        <v>SummerSplash</v>
      </c>
      <c r="E56" s="9" t="s">
        <v>47</v>
      </c>
      <c r="F56" s="9" t="s">
        <v>48</v>
      </c>
      <c r="G56" s="11">
        <v>2200.0</v>
      </c>
      <c r="H56" s="11">
        <v>504.0</v>
      </c>
      <c r="I56" s="11">
        <v>239.0</v>
      </c>
      <c r="J56" s="11">
        <v>37400.0</v>
      </c>
      <c r="K56" s="11">
        <v>36938.0</v>
      </c>
      <c r="L56" s="11">
        <v>225.0</v>
      </c>
      <c r="M56" s="12" t="s">
        <v>38</v>
      </c>
      <c r="N56" s="12" t="s">
        <v>26</v>
      </c>
      <c r="O56" s="12" t="s">
        <v>26</v>
      </c>
      <c r="P56" s="13">
        <v>0.07868983957219251</v>
      </c>
      <c r="Q56" s="14">
        <f t="shared" si="1"/>
        <v>45456</v>
      </c>
      <c r="R56" s="13">
        <f t="shared" si="2"/>
        <v>2943</v>
      </c>
      <c r="S56" s="15" t="str">
        <f t="shared" si="3"/>
        <v>During Campaign</v>
      </c>
      <c r="T56" s="16">
        <f t="shared" si="4"/>
        <v>12323</v>
      </c>
      <c r="U56" s="15">
        <f t="shared" si="5"/>
        <v>24</v>
      </c>
    </row>
    <row r="57" ht="14.25" customHeight="1">
      <c r="A57" s="9" t="s">
        <v>97</v>
      </c>
      <c r="B57" s="9" t="s">
        <v>22</v>
      </c>
      <c r="C57" s="10">
        <v>45488.0</v>
      </c>
      <c r="D57" s="10" t="str">
        <f>IF(
  AND(C57 &gt;= 'Campaign Metadata'!J$2, C57 &lt;= 'Campaign Metadata'!H$2),
  'Campaign Metadata'!A$2,
IF(
  AND(C57 &gt;= 'Campaign Metadata'!J$3, C57 &lt;= 'Campaign Metadata'!H$3),
  'Campaign Metadata'!A$3,
IF(
  AND(C57 &gt;= 'Campaign Metadata'!J$4, C57 &lt;= 'Campaign Metadata'!H$4),
  'Campaign Metadata'!A$4,
IF(
  AND(C57 &gt;= 'Campaign Metadata'!J$5, C57 &lt;= 'Campaign Metadata'!H$5),
  'Campaign Metadata'!A$5,
"Outside Campaign"
))))
</f>
        <v>SummerSplash</v>
      </c>
      <c r="E57" s="9" t="s">
        <v>50</v>
      </c>
      <c r="F57" s="9" t="s">
        <v>51</v>
      </c>
      <c r="G57" s="11">
        <v>3663.0</v>
      </c>
      <c r="H57" s="11">
        <v>17.0</v>
      </c>
      <c r="I57" s="11">
        <v>295.0</v>
      </c>
      <c r="J57" s="11">
        <v>51282.0</v>
      </c>
      <c r="K57" s="11">
        <v>50567.0</v>
      </c>
      <c r="L57" s="11">
        <v>84.0</v>
      </c>
      <c r="M57" s="12" t="s">
        <v>33</v>
      </c>
      <c r="N57" s="12" t="s">
        <v>26</v>
      </c>
      <c r="O57" s="12" t="s">
        <v>26</v>
      </c>
      <c r="P57" s="13">
        <v>0.07751257751257751</v>
      </c>
      <c r="Q57" s="14">
        <f t="shared" si="1"/>
        <v>45488</v>
      </c>
      <c r="R57" s="13">
        <f t="shared" si="2"/>
        <v>3975</v>
      </c>
      <c r="S57" s="15" t="str">
        <f t="shared" si="3"/>
        <v>During Campaign</v>
      </c>
      <c r="T57" s="16">
        <f t="shared" si="4"/>
        <v>13629</v>
      </c>
      <c r="U57" s="15">
        <f t="shared" si="5"/>
        <v>29</v>
      </c>
    </row>
    <row r="58" ht="14.25" customHeight="1">
      <c r="A58" s="9" t="s">
        <v>98</v>
      </c>
      <c r="B58" s="9" t="s">
        <v>22</v>
      </c>
      <c r="C58" s="10">
        <v>45602.0</v>
      </c>
      <c r="D58" s="10" t="str">
        <f>IF(
  AND(C58 &gt;= 'Campaign Metadata'!J$2, C58 &lt;= 'Campaign Metadata'!H$2),
  'Campaign Metadata'!A$2,
IF(
  AND(C58 &gt;= 'Campaign Metadata'!J$3, C58 &lt;= 'Campaign Metadata'!H$3),
  'Campaign Metadata'!A$3,
IF(
  AND(C58 &gt;= 'Campaign Metadata'!J$4, C58 &lt;= 'Campaign Metadata'!H$4),
  'Campaign Metadata'!A$4,
IF(
  AND(C58 &gt;= 'Campaign Metadata'!J$5, C58 &lt;= 'Campaign Metadata'!H$5),
  'Campaign Metadata'!A$5,
"Outside Campaign"
))))
</f>
        <v>FestiveRadiance</v>
      </c>
      <c r="E58" s="9" t="s">
        <v>23</v>
      </c>
      <c r="F58" s="9" t="s">
        <v>24</v>
      </c>
      <c r="G58" s="11">
        <v>1606.0</v>
      </c>
      <c r="H58" s="11">
        <v>547.0</v>
      </c>
      <c r="I58" s="11">
        <v>316.0</v>
      </c>
      <c r="J58" s="11">
        <v>32120.0</v>
      </c>
      <c r="K58" s="11">
        <v>31736.0</v>
      </c>
      <c r="L58" s="11">
        <v>225.0</v>
      </c>
      <c r="M58" s="12" t="s">
        <v>25</v>
      </c>
      <c r="N58" s="12" t="s">
        <v>67</v>
      </c>
      <c r="O58" s="12" t="s">
        <v>26</v>
      </c>
      <c r="P58" s="13">
        <v>0.07686799501867995</v>
      </c>
      <c r="Q58" s="14">
        <f t="shared" si="1"/>
        <v>45602</v>
      </c>
      <c r="R58" s="13">
        <f t="shared" si="2"/>
        <v>2469</v>
      </c>
      <c r="S58" s="15" t="str">
        <f t="shared" si="3"/>
        <v>During Campaign</v>
      </c>
      <c r="T58" s="16">
        <f t="shared" si="4"/>
        <v>-18831</v>
      </c>
      <c r="U58" s="15">
        <f t="shared" si="5"/>
        <v>45</v>
      </c>
    </row>
    <row r="59" ht="14.25" customHeight="1">
      <c r="A59" s="9" t="s">
        <v>99</v>
      </c>
      <c r="B59" s="9" t="s">
        <v>22</v>
      </c>
      <c r="C59" s="10">
        <v>45444.0</v>
      </c>
      <c r="D59" s="10" t="str">
        <f>IF(
  AND(C59 &gt;= 'Campaign Metadata'!J$2, C59 &lt;= 'Campaign Metadata'!H$2),
  'Campaign Metadata'!A$2,
IF(
  AND(C59 &gt;= 'Campaign Metadata'!J$3, C59 &lt;= 'Campaign Metadata'!H$3),
  'Campaign Metadata'!A$3,
IF(
  AND(C59 &gt;= 'Campaign Metadata'!J$4, C59 &lt;= 'Campaign Metadata'!H$4),
  'Campaign Metadata'!A$4,
IF(
  AND(C59 &gt;= 'Campaign Metadata'!J$5, C59 &lt;= 'Campaign Metadata'!H$5),
  'Campaign Metadata'!A$5,
"Outside Campaign"
))))
</f>
        <v>SummerSplash</v>
      </c>
      <c r="E59" s="9" t="s">
        <v>35</v>
      </c>
      <c r="F59" s="9" t="s">
        <v>36</v>
      </c>
      <c r="G59" s="11">
        <v>1272.0</v>
      </c>
      <c r="H59" s="11">
        <v>465.0</v>
      </c>
      <c r="I59" s="11">
        <v>99.0</v>
      </c>
      <c r="J59" s="11">
        <v>24168.0</v>
      </c>
      <c r="K59" s="11">
        <v>23719.0</v>
      </c>
      <c r="L59" s="11">
        <v>42.0</v>
      </c>
      <c r="M59" s="12" t="s">
        <v>25</v>
      </c>
      <c r="N59" s="12" t="s">
        <v>26</v>
      </c>
      <c r="O59" s="12" t="s">
        <v>26</v>
      </c>
      <c r="P59" s="13">
        <v>0.0759682224428997</v>
      </c>
      <c r="Q59" s="14">
        <f t="shared" si="1"/>
        <v>45444</v>
      </c>
      <c r="R59" s="13">
        <f t="shared" si="2"/>
        <v>1836</v>
      </c>
      <c r="S59" s="15" t="str">
        <f t="shared" si="3"/>
        <v>During Campaign</v>
      </c>
      <c r="T59" s="16">
        <f t="shared" si="4"/>
        <v>-8017</v>
      </c>
      <c r="U59" s="15">
        <f t="shared" si="5"/>
        <v>22</v>
      </c>
    </row>
    <row r="60" ht="14.25" customHeight="1">
      <c r="A60" s="9" t="s">
        <v>100</v>
      </c>
      <c r="B60" s="9" t="s">
        <v>22</v>
      </c>
      <c r="C60" s="10">
        <v>45530.0</v>
      </c>
      <c r="D60" s="10" t="str">
        <f>IF(
  AND(C60 &gt;= 'Campaign Metadata'!J$2, C60 &lt;= 'Campaign Metadata'!H$2),
  'Campaign Metadata'!A$2,
IF(
  AND(C60 &gt;= 'Campaign Metadata'!J$3, C60 &lt;= 'Campaign Metadata'!H$3),
  'Campaign Metadata'!A$3,
IF(
  AND(C60 &gt;= 'Campaign Metadata'!J$4, C60 &lt;= 'Campaign Metadata'!H$4),
  'Campaign Metadata'!A$4,
IF(
  AND(C60 &gt;= 'Campaign Metadata'!J$5, C60 &lt;= 'Campaign Metadata'!H$5),
  'Campaign Metadata'!A$5,
"Outside Campaign"
))))
</f>
        <v>SummerSplash</v>
      </c>
      <c r="E60" s="9" t="s">
        <v>35</v>
      </c>
      <c r="F60" s="9" t="s">
        <v>36</v>
      </c>
      <c r="G60" s="11">
        <v>3452.0</v>
      </c>
      <c r="H60" s="11">
        <v>377.0</v>
      </c>
      <c r="I60" s="11">
        <v>360.0</v>
      </c>
      <c r="J60" s="11">
        <v>55232.0</v>
      </c>
      <c r="K60" s="11">
        <v>55075.0</v>
      </c>
      <c r="L60" s="11">
        <v>87.0</v>
      </c>
      <c r="M60" s="12" t="s">
        <v>38</v>
      </c>
      <c r="N60" s="12" t="s">
        <v>26</v>
      </c>
      <c r="O60" s="12" t="s">
        <v>26</v>
      </c>
      <c r="P60" s="13">
        <v>0.07584371378910776</v>
      </c>
      <c r="Q60" s="14">
        <f t="shared" si="1"/>
        <v>45530</v>
      </c>
      <c r="R60" s="13">
        <f t="shared" si="2"/>
        <v>4189</v>
      </c>
      <c r="S60" s="15" t="str">
        <f t="shared" si="3"/>
        <v>During Campaign</v>
      </c>
      <c r="T60" s="16">
        <f t="shared" si="4"/>
        <v>31356</v>
      </c>
      <c r="U60" s="15">
        <f t="shared" si="5"/>
        <v>35</v>
      </c>
    </row>
    <row r="61" ht="14.25" customHeight="1">
      <c r="A61" s="9" t="s">
        <v>101</v>
      </c>
      <c r="B61" s="9" t="s">
        <v>22</v>
      </c>
      <c r="C61" s="10">
        <v>45488.0</v>
      </c>
      <c r="D61" s="10" t="str">
        <f>IF(
  AND(C61 &gt;= 'Campaign Metadata'!J$2, C61 &lt;= 'Campaign Metadata'!H$2),
  'Campaign Metadata'!A$2,
IF(
  AND(C61 &gt;= 'Campaign Metadata'!J$3, C61 &lt;= 'Campaign Metadata'!H$3),
  'Campaign Metadata'!A$3,
IF(
  AND(C61 &gt;= 'Campaign Metadata'!J$4, C61 &lt;= 'Campaign Metadata'!H$4),
  'Campaign Metadata'!A$4,
IF(
  AND(C61 &gt;= 'Campaign Metadata'!J$5, C61 &lt;= 'Campaign Metadata'!H$5),
  'Campaign Metadata'!A$5,
"Outside Campaign"
))))
</f>
        <v>SummerSplash</v>
      </c>
      <c r="E61" s="9" t="s">
        <v>47</v>
      </c>
      <c r="F61" s="9" t="s">
        <v>48</v>
      </c>
      <c r="G61" s="11">
        <v>3796.0</v>
      </c>
      <c r="H61" s="11">
        <v>667.0</v>
      </c>
      <c r="I61" s="11">
        <v>395.0</v>
      </c>
      <c r="J61" s="11">
        <v>64532.0</v>
      </c>
      <c r="K61" s="11">
        <v>63550.0</v>
      </c>
      <c r="L61" s="11">
        <v>292.0</v>
      </c>
      <c r="M61" s="12" t="s">
        <v>25</v>
      </c>
      <c r="N61" s="12" t="s">
        <v>26</v>
      </c>
      <c r="O61" s="12" t="s">
        <v>26</v>
      </c>
      <c r="P61" s="13">
        <v>0.07528048100167359</v>
      </c>
      <c r="Q61" s="14">
        <f t="shared" si="1"/>
        <v>45488</v>
      </c>
      <c r="R61" s="13">
        <f t="shared" si="2"/>
        <v>4858</v>
      </c>
      <c r="S61" s="15" t="str">
        <f t="shared" si="3"/>
        <v>During Campaign</v>
      </c>
      <c r="T61" s="16">
        <f t="shared" si="4"/>
        <v>8475</v>
      </c>
      <c r="U61" s="15">
        <f t="shared" si="5"/>
        <v>29</v>
      </c>
    </row>
    <row r="62" ht="14.25" customHeight="1">
      <c r="A62" s="9" t="s">
        <v>102</v>
      </c>
      <c r="B62" s="9" t="s">
        <v>22</v>
      </c>
      <c r="C62" s="10">
        <v>45597.0</v>
      </c>
      <c r="D62" s="10" t="str">
        <f>IF(
  AND(C62 &gt;= 'Campaign Metadata'!J$2, C62 &lt;= 'Campaign Metadata'!H$2),
  'Campaign Metadata'!A$2,
IF(
  AND(C62 &gt;= 'Campaign Metadata'!J$3, C62 &lt;= 'Campaign Metadata'!H$3),
  'Campaign Metadata'!A$3,
IF(
  AND(C62 &gt;= 'Campaign Metadata'!J$4, C62 &lt;= 'Campaign Metadata'!H$4),
  'Campaign Metadata'!A$4,
IF(
  AND(C62 &gt;= 'Campaign Metadata'!J$5, C62 &lt;= 'Campaign Metadata'!H$5),
  'Campaign Metadata'!A$5,
"Outside Campaign"
))))
</f>
        <v>FestiveRadiance</v>
      </c>
      <c r="E62" s="9" t="s">
        <v>23</v>
      </c>
      <c r="F62" s="9" t="s">
        <v>24</v>
      </c>
      <c r="G62" s="11">
        <v>3371.0</v>
      </c>
      <c r="H62" s="11">
        <v>106.0</v>
      </c>
      <c r="I62" s="11">
        <v>327.0</v>
      </c>
      <c r="J62" s="11">
        <v>50565.0</v>
      </c>
      <c r="K62" s="11">
        <v>49816.0</v>
      </c>
      <c r="L62" s="11">
        <v>176.0</v>
      </c>
      <c r="M62" s="12" t="s">
        <v>38</v>
      </c>
      <c r="N62" s="12" t="s">
        <v>26</v>
      </c>
      <c r="O62" s="12" t="s">
        <v>26</v>
      </c>
      <c r="P62" s="13">
        <v>0.07522990210619994</v>
      </c>
      <c r="Q62" s="14">
        <f t="shared" si="1"/>
        <v>45597</v>
      </c>
      <c r="R62" s="13">
        <f t="shared" si="2"/>
        <v>3804</v>
      </c>
      <c r="S62" s="15" t="str">
        <f t="shared" si="3"/>
        <v>During Campaign</v>
      </c>
      <c r="T62" s="16">
        <f t="shared" si="4"/>
        <v>-13734</v>
      </c>
      <c r="U62" s="15">
        <f t="shared" si="5"/>
        <v>44</v>
      </c>
    </row>
    <row r="63" ht="14.25" customHeight="1">
      <c r="A63" s="9" t="s">
        <v>103</v>
      </c>
      <c r="B63" s="9" t="s">
        <v>22</v>
      </c>
      <c r="C63" s="10">
        <v>45608.0</v>
      </c>
      <c r="D63" s="10" t="str">
        <f>IF(
  AND(C63 &gt;= 'Campaign Metadata'!J$2, C63 &lt;= 'Campaign Metadata'!H$2),
  'Campaign Metadata'!A$2,
IF(
  AND(C63 &gt;= 'Campaign Metadata'!J$3, C63 &lt;= 'Campaign Metadata'!H$3),
  'Campaign Metadata'!A$3,
IF(
  AND(C63 &gt;= 'Campaign Metadata'!J$4, C63 &lt;= 'Campaign Metadata'!H$4),
  'Campaign Metadata'!A$4,
IF(
  AND(C63 &gt;= 'Campaign Metadata'!J$5, C63 &lt;= 'Campaign Metadata'!H$5),
  'Campaign Metadata'!A$5,
"Outside Campaign"
))))
</f>
        <v>FestiveRadiance</v>
      </c>
      <c r="E63" s="9" t="s">
        <v>35</v>
      </c>
      <c r="F63" s="9" t="s">
        <v>36</v>
      </c>
      <c r="G63" s="11">
        <v>2418.0</v>
      </c>
      <c r="H63" s="11">
        <v>754.0</v>
      </c>
      <c r="I63" s="11">
        <v>54.0</v>
      </c>
      <c r="J63" s="11">
        <v>43524.0</v>
      </c>
      <c r="K63" s="11">
        <v>42743.0</v>
      </c>
      <c r="L63" s="11">
        <v>182.0</v>
      </c>
      <c r="M63" s="12" t="s">
        <v>33</v>
      </c>
      <c r="N63" s="12" t="s">
        <v>26</v>
      </c>
      <c r="O63" s="12" t="s">
        <v>26</v>
      </c>
      <c r="P63" s="13">
        <v>0.07412002573292896</v>
      </c>
      <c r="Q63" s="14">
        <f t="shared" si="1"/>
        <v>45608</v>
      </c>
      <c r="R63" s="13">
        <f t="shared" si="2"/>
        <v>3226</v>
      </c>
      <c r="S63" s="15" t="str">
        <f t="shared" si="3"/>
        <v>During Campaign</v>
      </c>
      <c r="T63" s="16">
        <f t="shared" si="4"/>
        <v>-7073</v>
      </c>
      <c r="U63" s="15">
        <f t="shared" si="5"/>
        <v>46</v>
      </c>
    </row>
    <row r="64" ht="14.25" customHeight="1">
      <c r="A64" s="9" t="s">
        <v>104</v>
      </c>
      <c r="B64" s="9" t="s">
        <v>22</v>
      </c>
      <c r="C64" s="10">
        <v>45465.0</v>
      </c>
      <c r="D64" s="10" t="str">
        <f>IF(
  AND(C64 &gt;= 'Campaign Metadata'!J$2, C64 &lt;= 'Campaign Metadata'!H$2),
  'Campaign Metadata'!A$2,
IF(
  AND(C64 &gt;= 'Campaign Metadata'!J$3, C64 &lt;= 'Campaign Metadata'!H$3),
  'Campaign Metadata'!A$3,
IF(
  AND(C64 &gt;= 'Campaign Metadata'!J$4, C64 &lt;= 'Campaign Metadata'!H$4),
  'Campaign Metadata'!A$4,
IF(
  AND(C64 &gt;= 'Campaign Metadata'!J$5, C64 &lt;= 'Campaign Metadata'!H$5),
  'Campaign Metadata'!A$5,
"Outside Campaign"
))))
</f>
        <v>SummerSplash</v>
      </c>
      <c r="E64" s="9" t="s">
        <v>50</v>
      </c>
      <c r="F64" s="9" t="s">
        <v>51</v>
      </c>
      <c r="G64" s="11">
        <v>3813.0</v>
      </c>
      <c r="H64" s="11">
        <v>935.0</v>
      </c>
      <c r="I64" s="11">
        <v>274.0</v>
      </c>
      <c r="J64" s="11">
        <v>68634.0</v>
      </c>
      <c r="K64" s="11">
        <v>68488.0</v>
      </c>
      <c r="L64" s="11">
        <v>251.0</v>
      </c>
      <c r="M64" s="12" t="s">
        <v>38</v>
      </c>
      <c r="N64" s="12" t="s">
        <v>26</v>
      </c>
      <c r="O64" s="12" t="s">
        <v>26</v>
      </c>
      <c r="P64" s="13">
        <v>0.07317073170731707</v>
      </c>
      <c r="Q64" s="14">
        <f t="shared" si="1"/>
        <v>45465</v>
      </c>
      <c r="R64" s="13">
        <f t="shared" si="2"/>
        <v>5022</v>
      </c>
      <c r="S64" s="15" t="str">
        <f t="shared" si="3"/>
        <v>During Campaign</v>
      </c>
      <c r="T64" s="16">
        <f t="shared" si="4"/>
        <v>25745</v>
      </c>
      <c r="U64" s="15">
        <f t="shared" si="5"/>
        <v>25</v>
      </c>
    </row>
    <row r="65" ht="14.25" customHeight="1">
      <c r="A65" s="9" t="s">
        <v>105</v>
      </c>
      <c r="B65" s="9" t="s">
        <v>22</v>
      </c>
      <c r="C65" s="10">
        <v>45624.0</v>
      </c>
      <c r="D65" s="10" t="str">
        <f>IF(
  AND(C65 &gt;= 'Campaign Metadata'!J$2, C65 &lt;= 'Campaign Metadata'!H$2),
  'Campaign Metadata'!A$2,
IF(
  AND(C65 &gt;= 'Campaign Metadata'!J$3, C65 &lt;= 'Campaign Metadata'!H$3),
  'Campaign Metadata'!A$3,
IF(
  AND(C65 &gt;= 'Campaign Metadata'!J$4, C65 &lt;= 'Campaign Metadata'!H$4),
  'Campaign Metadata'!A$4,
IF(
  AND(C65 &gt;= 'Campaign Metadata'!J$5, C65 &lt;= 'Campaign Metadata'!H$5),
  'Campaign Metadata'!A$5,
"Outside Campaign"
))))
</f>
        <v>FestiveRadiance</v>
      </c>
      <c r="E65" s="9" t="s">
        <v>47</v>
      </c>
      <c r="F65" s="9" t="s">
        <v>48</v>
      </c>
      <c r="G65" s="11">
        <v>2751.0</v>
      </c>
      <c r="H65" s="11">
        <v>33.0</v>
      </c>
      <c r="I65" s="11">
        <v>430.0</v>
      </c>
      <c r="J65" s="11">
        <v>44016.0</v>
      </c>
      <c r="K65" s="11">
        <v>43415.0</v>
      </c>
      <c r="L65" s="11">
        <v>129.0</v>
      </c>
      <c r="M65" s="12" t="s">
        <v>38</v>
      </c>
      <c r="N65" s="12" t="s">
        <v>26</v>
      </c>
      <c r="O65" s="12" t="s">
        <v>26</v>
      </c>
      <c r="P65" s="13">
        <v>0.0730189022173755</v>
      </c>
      <c r="Q65" s="14">
        <f t="shared" si="1"/>
        <v>45624</v>
      </c>
      <c r="R65" s="13">
        <f t="shared" si="2"/>
        <v>3214</v>
      </c>
      <c r="S65" s="15" t="str">
        <f t="shared" si="3"/>
        <v>During Campaign</v>
      </c>
      <c r="T65" s="16">
        <f t="shared" si="4"/>
        <v>-25073</v>
      </c>
      <c r="U65" s="15">
        <f t="shared" si="5"/>
        <v>48</v>
      </c>
    </row>
    <row r="66" ht="14.25" customHeight="1">
      <c r="A66" s="9" t="s">
        <v>106</v>
      </c>
      <c r="B66" s="9" t="s">
        <v>22</v>
      </c>
      <c r="C66" s="10">
        <v>45724.0</v>
      </c>
      <c r="D66" s="10" t="str">
        <f>IF(
  AND(C66 &gt;= 'Campaign Metadata'!J$2, C66 &lt;= 'Campaign Metadata'!H$2),
  'Campaign Metadata'!A$2,
IF(
  AND(C66 &gt;= 'Campaign Metadata'!J$3, C66 &lt;= 'Campaign Metadata'!H$3),
  'Campaign Metadata'!A$3,
IF(
  AND(C66 &gt;= 'Campaign Metadata'!J$4, C66 &lt;= 'Campaign Metadata'!H$4),
  'Campaign Metadata'!A$4,
IF(
  AND(C66 &gt;= 'Campaign Metadata'!J$5, C66 &lt;= 'Campaign Metadata'!H$5),
  'Campaign Metadata'!A$5,
"Outside Campaign"
))))
</f>
        <v>Outside Campaign</v>
      </c>
      <c r="E66" s="9" t="s">
        <v>28</v>
      </c>
      <c r="F66" s="9" t="s">
        <v>29</v>
      </c>
      <c r="G66" s="11">
        <v>2382.0</v>
      </c>
      <c r="H66" s="11">
        <v>265.0</v>
      </c>
      <c r="I66" s="11">
        <v>134.0</v>
      </c>
      <c r="J66" s="11">
        <v>38112.0</v>
      </c>
      <c r="K66" s="11">
        <v>37437.0</v>
      </c>
      <c r="L66" s="11">
        <v>249.0</v>
      </c>
      <c r="M66" s="12" t="s">
        <v>38</v>
      </c>
      <c r="N66" s="12" t="s">
        <v>26</v>
      </c>
      <c r="O66" s="12" t="s">
        <v>26</v>
      </c>
      <c r="P66" s="13">
        <v>0.0729691435768262</v>
      </c>
      <c r="Q66" s="14">
        <f t="shared" si="1"/>
        <v>45724</v>
      </c>
      <c r="R66" s="13">
        <f t="shared" si="2"/>
        <v>2781</v>
      </c>
      <c r="S66" s="15" t="str">
        <f t="shared" si="3"/>
        <v>Before Campaign</v>
      </c>
      <c r="T66" s="16">
        <f t="shared" si="4"/>
        <v>-5978</v>
      </c>
      <c r="U66" s="15">
        <f t="shared" si="5"/>
        <v>10</v>
      </c>
    </row>
    <row r="67" ht="14.25" customHeight="1">
      <c r="A67" s="9" t="s">
        <v>107</v>
      </c>
      <c r="B67" s="9" t="s">
        <v>22</v>
      </c>
      <c r="C67" s="10">
        <v>45518.0</v>
      </c>
      <c r="D67" s="10" t="str">
        <f>IF(
  AND(C67 &gt;= 'Campaign Metadata'!J$2, C67 &lt;= 'Campaign Metadata'!H$2),
  'Campaign Metadata'!A$2,
IF(
  AND(C67 &gt;= 'Campaign Metadata'!J$3, C67 &lt;= 'Campaign Metadata'!H$3),
  'Campaign Metadata'!A$3,
IF(
  AND(C67 &gt;= 'Campaign Metadata'!J$4, C67 &lt;= 'Campaign Metadata'!H$4),
  'Campaign Metadata'!A$4,
IF(
  AND(C67 &gt;= 'Campaign Metadata'!J$5, C67 &lt;= 'Campaign Metadata'!H$5),
  'Campaign Metadata'!A$5,
"Outside Campaign"
))))
</f>
        <v>SummerSplash</v>
      </c>
      <c r="E67" s="9" t="s">
        <v>47</v>
      </c>
      <c r="F67" s="9" t="s">
        <v>48</v>
      </c>
      <c r="G67" s="11">
        <v>3073.0</v>
      </c>
      <c r="H67" s="11">
        <v>553.0</v>
      </c>
      <c r="I67" s="11">
        <v>174.0</v>
      </c>
      <c r="J67" s="11">
        <v>52241.0</v>
      </c>
      <c r="K67" s="11">
        <v>51605.0</v>
      </c>
      <c r="L67" s="11">
        <v>246.0</v>
      </c>
      <c r="M67" s="12" t="s">
        <v>33</v>
      </c>
      <c r="N67" s="12" t="s">
        <v>26</v>
      </c>
      <c r="O67" s="12" t="s">
        <v>26</v>
      </c>
      <c r="P67" s="13">
        <v>0.07273980207117016</v>
      </c>
      <c r="Q67" s="14">
        <f t="shared" si="1"/>
        <v>45518</v>
      </c>
      <c r="R67" s="13">
        <f t="shared" si="2"/>
        <v>3800</v>
      </c>
      <c r="S67" s="15" t="str">
        <f t="shared" si="3"/>
        <v>During Campaign</v>
      </c>
      <c r="T67" s="16">
        <f t="shared" si="4"/>
        <v>14168</v>
      </c>
      <c r="U67" s="15">
        <f t="shared" si="5"/>
        <v>33</v>
      </c>
    </row>
    <row r="68" ht="14.25" customHeight="1">
      <c r="A68" s="9" t="s">
        <v>108</v>
      </c>
      <c r="B68" s="9" t="s">
        <v>22</v>
      </c>
      <c r="C68" s="10">
        <v>45740.0</v>
      </c>
      <c r="D68" s="10" t="str">
        <f>IF(
  AND(C68 &gt;= 'Campaign Metadata'!J$2, C68 &lt;= 'Campaign Metadata'!H$2),
  'Campaign Metadata'!A$2,
IF(
  AND(C68 &gt;= 'Campaign Metadata'!J$3, C68 &lt;= 'Campaign Metadata'!H$3),
  'Campaign Metadata'!A$3,
IF(
  AND(C68 &gt;= 'Campaign Metadata'!J$4, C68 &lt;= 'Campaign Metadata'!H$4),
  'Campaign Metadata'!A$4,
IF(
  AND(C68 &gt;= 'Campaign Metadata'!J$5, C68 &lt;= 'Campaign Metadata'!H$5),
  'Campaign Metadata'!A$5,
"Outside Campaign"
))))
</f>
        <v>Outside Campaign</v>
      </c>
      <c r="E68" s="9" t="s">
        <v>50</v>
      </c>
      <c r="F68" s="9" t="s">
        <v>51</v>
      </c>
      <c r="G68" s="11">
        <v>3360.0</v>
      </c>
      <c r="H68" s="11">
        <v>525.0</v>
      </c>
      <c r="I68" s="11">
        <v>500.0</v>
      </c>
      <c r="J68" s="11">
        <v>60480.0</v>
      </c>
      <c r="K68" s="11">
        <v>59610.0</v>
      </c>
      <c r="L68" s="11">
        <v>192.0</v>
      </c>
      <c r="M68" s="12" t="s">
        <v>25</v>
      </c>
      <c r="N68" s="12" t="s">
        <v>26</v>
      </c>
      <c r="O68" s="12" t="s">
        <v>26</v>
      </c>
      <c r="P68" s="13">
        <v>0.07250330687830688</v>
      </c>
      <c r="Q68" s="14">
        <f t="shared" si="1"/>
        <v>45740</v>
      </c>
      <c r="R68" s="13">
        <f t="shared" si="2"/>
        <v>4385</v>
      </c>
      <c r="S68" s="15" t="str">
        <f t="shared" si="3"/>
        <v>Before Campaign</v>
      </c>
      <c r="T68" s="16">
        <f t="shared" si="4"/>
        <v>8005</v>
      </c>
      <c r="U68" s="15">
        <f t="shared" si="5"/>
        <v>13</v>
      </c>
    </row>
    <row r="69" ht="14.25" customHeight="1">
      <c r="A69" s="9" t="s">
        <v>109</v>
      </c>
      <c r="B69" s="9" t="s">
        <v>22</v>
      </c>
      <c r="C69" s="10">
        <v>45621.0</v>
      </c>
      <c r="D69" s="10" t="str">
        <f>IF(
  AND(C69 &gt;= 'Campaign Metadata'!J$2, C69 &lt;= 'Campaign Metadata'!H$2),
  'Campaign Metadata'!A$2,
IF(
  AND(C69 &gt;= 'Campaign Metadata'!J$3, C69 &lt;= 'Campaign Metadata'!H$3),
  'Campaign Metadata'!A$3,
IF(
  AND(C69 &gt;= 'Campaign Metadata'!J$4, C69 &lt;= 'Campaign Metadata'!H$4),
  'Campaign Metadata'!A$4,
IF(
  AND(C69 &gt;= 'Campaign Metadata'!J$5, C69 &lt;= 'Campaign Metadata'!H$5),
  'Campaign Metadata'!A$5,
"Outside Campaign"
))))
</f>
        <v>FestiveRadiance</v>
      </c>
      <c r="E69" s="9" t="s">
        <v>28</v>
      </c>
      <c r="F69" s="9" t="s">
        <v>29</v>
      </c>
      <c r="G69" s="11">
        <v>3564.0</v>
      </c>
      <c r="H69" s="11">
        <v>629.0</v>
      </c>
      <c r="I69" s="11">
        <v>177.0</v>
      </c>
      <c r="J69" s="11">
        <v>60588.0</v>
      </c>
      <c r="K69" s="11">
        <v>59627.0</v>
      </c>
      <c r="L69" s="11">
        <v>92.0</v>
      </c>
      <c r="M69" s="12" t="s">
        <v>25</v>
      </c>
      <c r="N69" s="12" t="s">
        <v>26</v>
      </c>
      <c r="O69" s="12" t="s">
        <v>26</v>
      </c>
      <c r="P69" s="13">
        <v>0.07212649369512114</v>
      </c>
      <c r="Q69" s="14">
        <f t="shared" si="1"/>
        <v>45621</v>
      </c>
      <c r="R69" s="13">
        <f t="shared" si="2"/>
        <v>4370</v>
      </c>
      <c r="S69" s="15" t="str">
        <f t="shared" si="3"/>
        <v>During Campaign</v>
      </c>
      <c r="T69" s="16">
        <f t="shared" si="4"/>
        <v>17</v>
      </c>
      <c r="U69" s="15">
        <f t="shared" si="5"/>
        <v>48</v>
      </c>
    </row>
    <row r="70" ht="14.25" customHeight="1">
      <c r="A70" s="9" t="s">
        <v>110</v>
      </c>
      <c r="B70" s="9" t="s">
        <v>22</v>
      </c>
      <c r="C70" s="10">
        <v>45783.0</v>
      </c>
      <c r="D70" s="10" t="str">
        <f>IF(
  AND(C70 &gt;= 'Campaign Metadata'!J$2, C70 &lt;= 'Campaign Metadata'!H$2),
  'Campaign Metadata'!A$2,
IF(
  AND(C70 &gt;= 'Campaign Metadata'!J$3, C70 &lt;= 'Campaign Metadata'!H$3),
  'Campaign Metadata'!A$3,
IF(
  AND(C70 &gt;= 'Campaign Metadata'!J$4, C70 &lt;= 'Campaign Metadata'!H$4),
  'Campaign Metadata'!A$4,
IF(
  AND(C70 &gt;= 'Campaign Metadata'!J$5, C70 &lt;= 'Campaign Metadata'!H$5),
  'Campaign Metadata'!A$5,
"Outside Campaign"
))))
</f>
        <v>Outside Campaign</v>
      </c>
      <c r="E70" s="9" t="s">
        <v>28</v>
      </c>
      <c r="F70" s="9" t="s">
        <v>29</v>
      </c>
      <c r="G70" s="11">
        <v>4872.0</v>
      </c>
      <c r="H70" s="11">
        <v>925.0</v>
      </c>
      <c r="I70" s="11">
        <v>176.0</v>
      </c>
      <c r="J70" s="11">
        <v>82824.0</v>
      </c>
      <c r="K70" s="11">
        <v>82543.0</v>
      </c>
      <c r="L70" s="11">
        <v>89.0</v>
      </c>
      <c r="M70" s="12" t="s">
        <v>33</v>
      </c>
      <c r="N70" s="12" t="s">
        <v>26</v>
      </c>
      <c r="O70" s="12" t="s">
        <v>26</v>
      </c>
      <c r="P70" s="13">
        <v>0.07211677774558099</v>
      </c>
      <c r="Q70" s="14">
        <f t="shared" si="1"/>
        <v>45783</v>
      </c>
      <c r="R70" s="13">
        <f t="shared" si="2"/>
        <v>5973</v>
      </c>
      <c r="S70" s="15" t="str">
        <f t="shared" si="3"/>
        <v>Before Campaign</v>
      </c>
      <c r="T70" s="16">
        <f t="shared" si="4"/>
        <v>22916</v>
      </c>
      <c r="U70" s="15">
        <f t="shared" si="5"/>
        <v>19</v>
      </c>
    </row>
    <row r="71" ht="14.25" customHeight="1">
      <c r="A71" s="9" t="s">
        <v>111</v>
      </c>
      <c r="B71" s="9" t="s">
        <v>22</v>
      </c>
      <c r="C71" s="10">
        <v>45680.0</v>
      </c>
      <c r="D71" s="10" t="str">
        <f>IF(
  AND(C71 &gt;= 'Campaign Metadata'!J$2, C71 &lt;= 'Campaign Metadata'!H$2),
  'Campaign Metadata'!A$2,
IF(
  AND(C71 &gt;= 'Campaign Metadata'!J$3, C71 &lt;= 'Campaign Metadata'!H$3),
  'Campaign Metadata'!A$3,
IF(
  AND(C71 &gt;= 'Campaign Metadata'!J$4, C71 &lt;= 'Campaign Metadata'!H$4),
  'Campaign Metadata'!A$4,
IF(
  AND(C71 &gt;= 'Campaign Metadata'!J$5, C71 &lt;= 'Campaign Metadata'!H$5),
  'Campaign Metadata'!A$5,
"Outside Campaign"
))))
</f>
        <v>NewYearRefresh</v>
      </c>
      <c r="E71" s="9" t="s">
        <v>23</v>
      </c>
      <c r="F71" s="9" t="s">
        <v>24</v>
      </c>
      <c r="G71" s="11">
        <v>3961.0</v>
      </c>
      <c r="H71" s="11">
        <v>761.0</v>
      </c>
      <c r="I71" s="11">
        <v>131.0</v>
      </c>
      <c r="J71" s="11">
        <v>67337.0</v>
      </c>
      <c r="K71" s="11">
        <v>66615.0</v>
      </c>
      <c r="L71" s="11">
        <v>161.0</v>
      </c>
      <c r="M71" s="12" t="s">
        <v>38</v>
      </c>
      <c r="N71" s="12" t="s">
        <v>26</v>
      </c>
      <c r="O71" s="12" t="s">
        <v>26</v>
      </c>
      <c r="P71" s="13">
        <v>0.07207033280365921</v>
      </c>
      <c r="Q71" s="14">
        <f t="shared" si="1"/>
        <v>45680</v>
      </c>
      <c r="R71" s="13">
        <f t="shared" si="2"/>
        <v>4853</v>
      </c>
      <c r="S71" s="15" t="str">
        <f t="shared" si="3"/>
        <v>During Campaign</v>
      </c>
      <c r="T71" s="16">
        <f t="shared" si="4"/>
        <v>-15928</v>
      </c>
      <c r="U71" s="15">
        <f t="shared" si="5"/>
        <v>4</v>
      </c>
    </row>
    <row r="72" ht="14.25" customHeight="1">
      <c r="A72" s="9" t="s">
        <v>112</v>
      </c>
      <c r="B72" s="9" t="s">
        <v>22</v>
      </c>
      <c r="C72" s="10">
        <v>45727.0</v>
      </c>
      <c r="D72" s="10" t="str">
        <f>IF(
  AND(C72 &gt;= 'Campaign Metadata'!J$2, C72 &lt;= 'Campaign Metadata'!H$2),
  'Campaign Metadata'!A$2,
IF(
  AND(C72 &gt;= 'Campaign Metadata'!J$3, C72 &lt;= 'Campaign Metadata'!H$3),
  'Campaign Metadata'!A$3,
IF(
  AND(C72 &gt;= 'Campaign Metadata'!J$4, C72 &lt;= 'Campaign Metadata'!H$4),
  'Campaign Metadata'!A$4,
IF(
  AND(C72 &gt;= 'Campaign Metadata'!J$5, C72 &lt;= 'Campaign Metadata'!H$5),
  'Campaign Metadata'!A$5,
"Outside Campaign"
))))
</f>
        <v>Outside Campaign</v>
      </c>
      <c r="E72" s="9" t="s">
        <v>28</v>
      </c>
      <c r="F72" s="9" t="s">
        <v>29</v>
      </c>
      <c r="G72" s="11">
        <v>4241.0</v>
      </c>
      <c r="H72" s="11">
        <v>902.0</v>
      </c>
      <c r="I72" s="11">
        <v>47.0</v>
      </c>
      <c r="J72" s="11">
        <v>72097.0</v>
      </c>
      <c r="K72" s="11">
        <v>71598.0</v>
      </c>
      <c r="L72" s="11">
        <v>167.0</v>
      </c>
      <c r="M72" s="12" t="s">
        <v>25</v>
      </c>
      <c r="N72" s="12" t="s">
        <v>26</v>
      </c>
      <c r="O72" s="12" t="s">
        <v>26</v>
      </c>
      <c r="P72" s="13">
        <v>0.07198635172059864</v>
      </c>
      <c r="Q72" s="14">
        <f t="shared" si="1"/>
        <v>45727</v>
      </c>
      <c r="R72" s="13">
        <f t="shared" si="2"/>
        <v>5190</v>
      </c>
      <c r="S72" s="15" t="str">
        <f t="shared" si="3"/>
        <v>Before Campaign</v>
      </c>
      <c r="T72" s="16">
        <f t="shared" si="4"/>
        <v>4983</v>
      </c>
      <c r="U72" s="15">
        <f t="shared" si="5"/>
        <v>11</v>
      </c>
    </row>
    <row r="73" ht="14.25" customHeight="1">
      <c r="A73" s="9" t="s">
        <v>113</v>
      </c>
      <c r="B73" s="9" t="s">
        <v>22</v>
      </c>
      <c r="C73" s="10">
        <v>45602.0</v>
      </c>
      <c r="D73" s="10" t="str">
        <f>IF(
  AND(C73 &gt;= 'Campaign Metadata'!J$2, C73 &lt;= 'Campaign Metadata'!H$2),
  'Campaign Metadata'!A$2,
IF(
  AND(C73 &gt;= 'Campaign Metadata'!J$3, C73 &lt;= 'Campaign Metadata'!H$3),
  'Campaign Metadata'!A$3,
IF(
  AND(C73 &gt;= 'Campaign Metadata'!J$4, C73 &lt;= 'Campaign Metadata'!H$4),
  'Campaign Metadata'!A$4,
IF(
  AND(C73 &gt;= 'Campaign Metadata'!J$5, C73 &lt;= 'Campaign Metadata'!H$5),
  'Campaign Metadata'!A$5,
"Outside Campaign"
))))
</f>
        <v>FestiveRadiance</v>
      </c>
      <c r="E73" s="9" t="s">
        <v>23</v>
      </c>
      <c r="F73" s="9" t="s">
        <v>24</v>
      </c>
      <c r="G73" s="11">
        <v>4663.0</v>
      </c>
      <c r="H73" s="11">
        <v>145.0</v>
      </c>
      <c r="I73" s="11">
        <v>225.0</v>
      </c>
      <c r="J73" s="11">
        <v>69945.0</v>
      </c>
      <c r="K73" s="11">
        <v>69596.0</v>
      </c>
      <c r="L73" s="11">
        <v>35.0</v>
      </c>
      <c r="M73" s="12" t="s">
        <v>33</v>
      </c>
      <c r="N73" s="12" t="s">
        <v>26</v>
      </c>
      <c r="O73" s="12" t="s">
        <v>26</v>
      </c>
      <c r="P73" s="13">
        <v>0.07195653727929087</v>
      </c>
      <c r="Q73" s="14">
        <f t="shared" si="1"/>
        <v>45602</v>
      </c>
      <c r="R73" s="13">
        <f t="shared" si="2"/>
        <v>5033</v>
      </c>
      <c r="S73" s="15" t="str">
        <f t="shared" si="3"/>
        <v>During Campaign</v>
      </c>
      <c r="T73" s="16">
        <f t="shared" si="4"/>
        <v>-2002</v>
      </c>
      <c r="U73" s="15">
        <f t="shared" si="5"/>
        <v>45</v>
      </c>
    </row>
    <row r="74" ht="14.25" customHeight="1">
      <c r="A74" s="9" t="s">
        <v>114</v>
      </c>
      <c r="B74" s="9" t="s">
        <v>22</v>
      </c>
      <c r="C74" s="10">
        <v>45694.0</v>
      </c>
      <c r="D74" s="10" t="str">
        <f>IF(
  AND(C74 &gt;= 'Campaign Metadata'!J$2, C74 &lt;= 'Campaign Metadata'!H$2),
  'Campaign Metadata'!A$2,
IF(
  AND(C74 &gt;= 'Campaign Metadata'!J$3, C74 &lt;= 'Campaign Metadata'!H$3),
  'Campaign Metadata'!A$3,
IF(
  AND(C74 &gt;= 'Campaign Metadata'!J$4, C74 &lt;= 'Campaign Metadata'!H$4),
  'Campaign Metadata'!A$4,
IF(
  AND(C74 &gt;= 'Campaign Metadata'!J$5, C74 &lt;= 'Campaign Metadata'!H$5),
  'Campaign Metadata'!A$5,
"Outside Campaign"
))))
</f>
        <v>NewYearRefresh</v>
      </c>
      <c r="E74" s="9" t="s">
        <v>28</v>
      </c>
      <c r="F74" s="9" t="s">
        <v>29</v>
      </c>
      <c r="G74" s="11">
        <v>2072.0</v>
      </c>
      <c r="H74" s="11">
        <v>532.0</v>
      </c>
      <c r="I74" s="11">
        <v>71.0</v>
      </c>
      <c r="J74" s="11">
        <v>37296.0</v>
      </c>
      <c r="K74" s="11">
        <v>36467.0</v>
      </c>
      <c r="L74" s="11">
        <v>25.0</v>
      </c>
      <c r="M74" s="12" t="s">
        <v>25</v>
      </c>
      <c r="N74" s="12" t="s">
        <v>26</v>
      </c>
      <c r="O74" s="12" t="s">
        <v>26</v>
      </c>
      <c r="P74" s="13">
        <v>0.07172350922350923</v>
      </c>
      <c r="Q74" s="14">
        <f t="shared" si="1"/>
        <v>45694</v>
      </c>
      <c r="R74" s="13">
        <f t="shared" si="2"/>
        <v>2675</v>
      </c>
      <c r="S74" s="15" t="str">
        <f t="shared" si="3"/>
        <v>During Campaign</v>
      </c>
      <c r="T74" s="16">
        <f t="shared" si="4"/>
        <v>-33129</v>
      </c>
      <c r="U74" s="15">
        <f t="shared" si="5"/>
        <v>6</v>
      </c>
    </row>
    <row r="75" ht="14.25" customHeight="1">
      <c r="A75" s="9" t="s">
        <v>115</v>
      </c>
      <c r="B75" s="9" t="s">
        <v>22</v>
      </c>
      <c r="C75" s="10">
        <v>45742.0</v>
      </c>
      <c r="D75" s="10" t="str">
        <f>IF(
  AND(C75 &gt;= 'Campaign Metadata'!J$2, C75 &lt;= 'Campaign Metadata'!H$2),
  'Campaign Metadata'!A$2,
IF(
  AND(C75 &gt;= 'Campaign Metadata'!J$3, C75 &lt;= 'Campaign Metadata'!H$3),
  'Campaign Metadata'!A$3,
IF(
  AND(C75 &gt;= 'Campaign Metadata'!J$4, C75 &lt;= 'Campaign Metadata'!H$4),
  'Campaign Metadata'!A$4,
IF(
  AND(C75 &gt;= 'Campaign Metadata'!J$5, C75 &lt;= 'Campaign Metadata'!H$5),
  'Campaign Metadata'!A$5,
"Outside Campaign"
))))
</f>
        <v>Outside Campaign</v>
      </c>
      <c r="E75" s="9" t="s">
        <v>35</v>
      </c>
      <c r="F75" s="9" t="s">
        <v>36</v>
      </c>
      <c r="G75" s="11">
        <v>1652.0</v>
      </c>
      <c r="H75" s="11">
        <v>89.0</v>
      </c>
      <c r="I75" s="11">
        <v>357.0</v>
      </c>
      <c r="J75" s="11">
        <v>29736.0</v>
      </c>
      <c r="K75" s="11">
        <v>28771.0</v>
      </c>
      <c r="L75" s="11">
        <v>215.0</v>
      </c>
      <c r="M75" s="12" t="s">
        <v>25</v>
      </c>
      <c r="N75" s="12" t="s">
        <v>26</v>
      </c>
      <c r="O75" s="12" t="s">
        <v>26</v>
      </c>
      <c r="P75" s="13">
        <v>0.07055421038471886</v>
      </c>
      <c r="Q75" s="14">
        <f t="shared" si="1"/>
        <v>45742</v>
      </c>
      <c r="R75" s="13">
        <f t="shared" si="2"/>
        <v>2098</v>
      </c>
      <c r="S75" s="15" t="str">
        <f t="shared" si="3"/>
        <v>Before Campaign</v>
      </c>
      <c r="T75" s="16">
        <f t="shared" si="4"/>
        <v>-7696</v>
      </c>
      <c r="U75" s="15">
        <f t="shared" si="5"/>
        <v>13</v>
      </c>
    </row>
    <row r="76" ht="14.25" customHeight="1">
      <c r="A76" s="9" t="s">
        <v>116</v>
      </c>
      <c r="B76" s="9" t="s">
        <v>22</v>
      </c>
      <c r="C76" s="10">
        <v>45684.0</v>
      </c>
      <c r="D76" s="10" t="str">
        <f>IF(
  AND(C76 &gt;= 'Campaign Metadata'!J$2, C76 &lt;= 'Campaign Metadata'!H$2),
  'Campaign Metadata'!A$2,
IF(
  AND(C76 &gt;= 'Campaign Metadata'!J$3, C76 &lt;= 'Campaign Metadata'!H$3),
  'Campaign Metadata'!A$3,
IF(
  AND(C76 &gt;= 'Campaign Metadata'!J$4, C76 &lt;= 'Campaign Metadata'!H$4),
  'Campaign Metadata'!A$4,
IF(
  AND(C76 &gt;= 'Campaign Metadata'!J$5, C76 &lt;= 'Campaign Metadata'!H$5),
  'Campaign Metadata'!A$5,
"Outside Campaign"
))))
</f>
        <v>NewYearRefresh</v>
      </c>
      <c r="E76" s="9" t="s">
        <v>50</v>
      </c>
      <c r="F76" s="9" t="s">
        <v>51</v>
      </c>
      <c r="G76" s="11">
        <v>3452.0</v>
      </c>
      <c r="H76" s="11">
        <v>652.0</v>
      </c>
      <c r="I76" s="11">
        <v>442.0</v>
      </c>
      <c r="J76" s="11">
        <v>65588.0</v>
      </c>
      <c r="K76" s="11">
        <v>65049.0</v>
      </c>
      <c r="L76" s="11">
        <v>158.0</v>
      </c>
      <c r="M76" s="12" t="s">
        <v>38</v>
      </c>
      <c r="N76" s="12" t="s">
        <v>26</v>
      </c>
      <c r="O76" s="12" t="s">
        <v>26</v>
      </c>
      <c r="P76" s="13">
        <v>0.06931145941330731</v>
      </c>
      <c r="Q76" s="14">
        <f t="shared" si="1"/>
        <v>45684</v>
      </c>
      <c r="R76" s="13">
        <f t="shared" si="2"/>
        <v>4546</v>
      </c>
      <c r="S76" s="15" t="str">
        <f t="shared" si="3"/>
        <v>During Campaign</v>
      </c>
      <c r="T76" s="16">
        <f t="shared" si="4"/>
        <v>36278</v>
      </c>
      <c r="U76" s="15">
        <f t="shared" si="5"/>
        <v>5</v>
      </c>
    </row>
    <row r="77" ht="14.25" customHeight="1">
      <c r="A77" s="9" t="s">
        <v>117</v>
      </c>
      <c r="B77" s="9" t="s">
        <v>22</v>
      </c>
      <c r="C77" s="10">
        <v>45624.0</v>
      </c>
      <c r="D77" s="10" t="str">
        <f>IF(
  AND(C77 &gt;= 'Campaign Metadata'!J$2, C77 &lt;= 'Campaign Metadata'!H$2),
  'Campaign Metadata'!A$2,
IF(
  AND(C77 &gt;= 'Campaign Metadata'!J$3, C77 &lt;= 'Campaign Metadata'!H$3),
  'Campaign Metadata'!A$3,
IF(
  AND(C77 &gt;= 'Campaign Metadata'!J$4, C77 &lt;= 'Campaign Metadata'!H$4),
  'Campaign Metadata'!A$4,
IF(
  AND(C77 &gt;= 'Campaign Metadata'!J$5, C77 &lt;= 'Campaign Metadata'!H$5),
  'Campaign Metadata'!A$5,
"Outside Campaign"
))))
</f>
        <v>FestiveRadiance</v>
      </c>
      <c r="E77" s="9" t="s">
        <v>35</v>
      </c>
      <c r="F77" s="9" t="s">
        <v>36</v>
      </c>
      <c r="G77" s="11">
        <v>4213.0</v>
      </c>
      <c r="H77" s="11">
        <v>253.0</v>
      </c>
      <c r="I77" s="11">
        <v>434.0</v>
      </c>
      <c r="J77" s="11">
        <v>75834.0</v>
      </c>
      <c r="K77" s="11">
        <v>75437.0</v>
      </c>
      <c r="L77" s="11">
        <v>272.0</v>
      </c>
      <c r="M77" s="12" t="s">
        <v>38</v>
      </c>
      <c r="N77" s="12" t="s">
        <v>26</v>
      </c>
      <c r="O77" s="12" t="s">
        <v>26</v>
      </c>
      <c r="P77" s="13">
        <v>0.06461481657304112</v>
      </c>
      <c r="Q77" s="14">
        <f t="shared" si="1"/>
        <v>45624</v>
      </c>
      <c r="R77" s="13">
        <f t="shared" si="2"/>
        <v>4900</v>
      </c>
      <c r="S77" s="15" t="str">
        <f t="shared" si="3"/>
        <v>During Campaign</v>
      </c>
      <c r="T77" s="16">
        <f t="shared" si="4"/>
        <v>10388</v>
      </c>
      <c r="U77" s="15">
        <f t="shared" si="5"/>
        <v>48</v>
      </c>
    </row>
    <row r="78" ht="14.25" customHeight="1">
      <c r="A78" s="9" t="s">
        <v>118</v>
      </c>
      <c r="B78" s="9" t="s">
        <v>22</v>
      </c>
      <c r="C78" s="10">
        <v>45583.0</v>
      </c>
      <c r="D78" s="10" t="str">
        <f>IF(
  AND(C78 &gt;= 'Campaign Metadata'!J$2, C78 &lt;= 'Campaign Metadata'!H$2),
  'Campaign Metadata'!A$2,
IF(
  AND(C78 &gt;= 'Campaign Metadata'!J$3, C78 &lt;= 'Campaign Metadata'!H$3),
  'Campaign Metadata'!A$3,
IF(
  AND(C78 &gt;= 'Campaign Metadata'!J$4, C78 &lt;= 'Campaign Metadata'!H$4),
  'Campaign Metadata'!A$4,
IF(
  AND(C78 &gt;= 'Campaign Metadata'!J$5, C78 &lt;= 'Campaign Metadata'!H$5),
  'Campaign Metadata'!A$5,
"Outside Campaign"
))))
</f>
        <v>FestiveRadiance</v>
      </c>
      <c r="E78" s="9" t="s">
        <v>31</v>
      </c>
      <c r="F78" s="9" t="s">
        <v>32</v>
      </c>
      <c r="G78" s="11">
        <v>4126.0</v>
      </c>
      <c r="H78" s="11">
        <v>426.0</v>
      </c>
      <c r="I78" s="11">
        <v>486.0</v>
      </c>
      <c r="J78" s="11">
        <v>78394.0</v>
      </c>
      <c r="K78" s="11">
        <v>77798.0</v>
      </c>
      <c r="L78" s="11">
        <v>88.0</v>
      </c>
      <c r="M78" s="12" t="s">
        <v>38</v>
      </c>
      <c r="N78" s="12" t="s">
        <v>26</v>
      </c>
      <c r="O78" s="12" t="s">
        <v>26</v>
      </c>
      <c r="P78" s="13">
        <v>0.06426512233079062</v>
      </c>
      <c r="Q78" s="14">
        <f t="shared" si="1"/>
        <v>45583</v>
      </c>
      <c r="R78" s="13">
        <f t="shared" si="2"/>
        <v>5038</v>
      </c>
      <c r="S78" s="15" t="str">
        <f t="shared" si="3"/>
        <v>During Campaign</v>
      </c>
      <c r="T78" s="16">
        <f t="shared" si="4"/>
        <v>2361</v>
      </c>
      <c r="U78" s="15">
        <f t="shared" si="5"/>
        <v>42</v>
      </c>
    </row>
    <row r="79" ht="14.25" customHeight="1">
      <c r="A79" s="9" t="s">
        <v>119</v>
      </c>
      <c r="B79" s="9" t="s">
        <v>22</v>
      </c>
      <c r="C79" s="10">
        <v>45745.0</v>
      </c>
      <c r="D79" s="10" t="str">
        <f>IF(
  AND(C79 &gt;= 'Campaign Metadata'!J$2, C79 &lt;= 'Campaign Metadata'!H$2),
  'Campaign Metadata'!A$2,
IF(
  AND(C79 &gt;= 'Campaign Metadata'!J$3, C79 &lt;= 'Campaign Metadata'!H$3),
  'Campaign Metadata'!A$3,
IF(
  AND(C79 &gt;= 'Campaign Metadata'!J$4, C79 &lt;= 'Campaign Metadata'!H$4),
  'Campaign Metadata'!A$4,
IF(
  AND(C79 &gt;= 'Campaign Metadata'!J$5, C79 &lt;= 'Campaign Metadata'!H$5),
  'Campaign Metadata'!A$5,
"Outside Campaign"
))))
</f>
        <v>Outside Campaign</v>
      </c>
      <c r="E79" s="9" t="s">
        <v>47</v>
      </c>
      <c r="F79" s="9" t="s">
        <v>48</v>
      </c>
      <c r="G79" s="11">
        <v>4712.0</v>
      </c>
      <c r="H79" s="11">
        <v>568.0</v>
      </c>
      <c r="I79" s="11">
        <v>127.0</v>
      </c>
      <c r="J79" s="11">
        <v>84816.0</v>
      </c>
      <c r="K79" s="11">
        <v>84691.0</v>
      </c>
      <c r="L79" s="11">
        <v>100.0</v>
      </c>
      <c r="M79" s="12" t="s">
        <v>33</v>
      </c>
      <c r="N79" s="12" t="s">
        <v>26</v>
      </c>
      <c r="O79" s="12" t="s">
        <v>26</v>
      </c>
      <c r="P79" s="13">
        <v>0.06374976419543482</v>
      </c>
      <c r="Q79" s="14">
        <f t="shared" si="1"/>
        <v>45745</v>
      </c>
      <c r="R79" s="13">
        <f t="shared" si="2"/>
        <v>5407</v>
      </c>
      <c r="S79" s="15" t="str">
        <f t="shared" si="3"/>
        <v>Before Campaign</v>
      </c>
      <c r="T79" s="16">
        <f t="shared" si="4"/>
        <v>6893</v>
      </c>
      <c r="U79" s="15">
        <f t="shared" si="5"/>
        <v>13</v>
      </c>
    </row>
    <row r="80" ht="14.25" customHeight="1">
      <c r="A80" s="9" t="s">
        <v>120</v>
      </c>
      <c r="B80" s="9" t="s">
        <v>22</v>
      </c>
      <c r="C80" s="10">
        <v>45629.0</v>
      </c>
      <c r="D80" s="10" t="str">
        <f>IF(
  AND(C80 &gt;= 'Campaign Metadata'!J$2, C80 &lt;= 'Campaign Metadata'!H$2),
  'Campaign Metadata'!A$2,
IF(
  AND(C80 &gt;= 'Campaign Metadata'!J$3, C80 &lt;= 'Campaign Metadata'!H$3),
  'Campaign Metadata'!A$3,
IF(
  AND(C80 &gt;= 'Campaign Metadata'!J$4, C80 &lt;= 'Campaign Metadata'!H$4),
  'Campaign Metadata'!A$4,
IF(
  AND(C80 &gt;= 'Campaign Metadata'!J$5, C80 &lt;= 'Campaign Metadata'!H$5),
  'Campaign Metadata'!A$5,
"Outside Campaign"
))))
</f>
        <v>FestiveRadiance</v>
      </c>
      <c r="E80" s="9" t="s">
        <v>28</v>
      </c>
      <c r="F80" s="9" t="s">
        <v>29</v>
      </c>
      <c r="G80" s="11">
        <v>4606.0</v>
      </c>
      <c r="H80" s="11">
        <v>931.0</v>
      </c>
      <c r="I80" s="11">
        <v>230.0</v>
      </c>
      <c r="J80" s="11">
        <v>92120.0</v>
      </c>
      <c r="K80" s="11">
        <v>91440.0</v>
      </c>
      <c r="L80" s="11">
        <v>56.0</v>
      </c>
      <c r="M80" s="12" t="s">
        <v>25</v>
      </c>
      <c r="N80" s="12" t="s">
        <v>26</v>
      </c>
      <c r="O80" s="12" t="s">
        <v>26</v>
      </c>
      <c r="P80" s="13">
        <v>0.06260312635692575</v>
      </c>
      <c r="Q80" s="14">
        <f t="shared" si="1"/>
        <v>45629</v>
      </c>
      <c r="R80" s="13">
        <f t="shared" si="2"/>
        <v>5767</v>
      </c>
      <c r="S80" s="15" t="str">
        <f t="shared" si="3"/>
        <v>During Campaign</v>
      </c>
      <c r="T80" s="16">
        <f t="shared" si="4"/>
        <v>6749</v>
      </c>
      <c r="U80" s="15">
        <f t="shared" si="5"/>
        <v>49</v>
      </c>
    </row>
    <row r="81" ht="14.25" customHeight="1">
      <c r="A81" s="9" t="s">
        <v>121</v>
      </c>
      <c r="B81" s="9" t="s">
        <v>22</v>
      </c>
      <c r="C81" s="10">
        <v>45754.0</v>
      </c>
      <c r="D81" s="10" t="str">
        <f>IF(
  AND(C81 &gt;= 'Campaign Metadata'!J$2, C81 &lt;= 'Campaign Metadata'!H$2),
  'Campaign Metadata'!A$2,
IF(
  AND(C81 &gt;= 'Campaign Metadata'!J$3, C81 &lt;= 'Campaign Metadata'!H$3),
  'Campaign Metadata'!A$3,
IF(
  AND(C81 &gt;= 'Campaign Metadata'!J$4, C81 &lt;= 'Campaign Metadata'!H$4),
  'Campaign Metadata'!A$4,
IF(
  AND(C81 &gt;= 'Campaign Metadata'!J$5, C81 &lt;= 'Campaign Metadata'!H$5),
  'Campaign Metadata'!A$5,
"Outside Campaign"
))))
</f>
        <v>Outside Campaign</v>
      </c>
      <c r="E81" s="9" t="s">
        <v>50</v>
      </c>
      <c r="F81" s="9" t="s">
        <v>51</v>
      </c>
      <c r="G81" s="11">
        <v>3718.0</v>
      </c>
      <c r="H81" s="11">
        <v>385.0</v>
      </c>
      <c r="I81" s="11">
        <v>310.0</v>
      </c>
      <c r="J81" s="11">
        <v>70642.0</v>
      </c>
      <c r="K81" s="11">
        <v>69749.0</v>
      </c>
      <c r="L81" s="11">
        <v>233.0</v>
      </c>
      <c r="M81" s="12" t="s">
        <v>25</v>
      </c>
      <c r="N81" s="12" t="s">
        <v>26</v>
      </c>
      <c r="O81" s="12" t="s">
        <v>26</v>
      </c>
      <c r="P81" s="13">
        <v>0.06246991874522239</v>
      </c>
      <c r="Q81" s="14">
        <f t="shared" si="1"/>
        <v>45754</v>
      </c>
      <c r="R81" s="13">
        <f t="shared" si="2"/>
        <v>4413</v>
      </c>
      <c r="S81" s="15" t="str">
        <f t="shared" si="3"/>
        <v>Before Campaign</v>
      </c>
      <c r="T81" s="16">
        <f t="shared" si="4"/>
        <v>-21691</v>
      </c>
      <c r="U81" s="15">
        <f t="shared" si="5"/>
        <v>15</v>
      </c>
    </row>
    <row r="82" ht="14.25" customHeight="1">
      <c r="A82" s="9" t="s">
        <v>122</v>
      </c>
      <c r="B82" s="9" t="s">
        <v>22</v>
      </c>
      <c r="C82" s="10">
        <v>45589.0</v>
      </c>
      <c r="D82" s="10" t="str">
        <f>IF(
  AND(C82 &gt;= 'Campaign Metadata'!J$2, C82 &lt;= 'Campaign Metadata'!H$2),
  'Campaign Metadata'!A$2,
IF(
  AND(C82 &gt;= 'Campaign Metadata'!J$3, C82 &lt;= 'Campaign Metadata'!H$3),
  'Campaign Metadata'!A$3,
IF(
  AND(C82 &gt;= 'Campaign Metadata'!J$4, C82 &lt;= 'Campaign Metadata'!H$4),
  'Campaign Metadata'!A$4,
IF(
  AND(C82 &gt;= 'Campaign Metadata'!J$5, C82 &lt;= 'Campaign Metadata'!H$5),
  'Campaign Metadata'!A$5,
"Outside Campaign"
))))
</f>
        <v>FestiveRadiance</v>
      </c>
      <c r="E82" s="9" t="s">
        <v>23</v>
      </c>
      <c r="F82" s="9" t="s">
        <v>24</v>
      </c>
      <c r="G82" s="11">
        <v>3888.0</v>
      </c>
      <c r="H82" s="11">
        <v>604.0</v>
      </c>
      <c r="I82" s="11">
        <v>128.0</v>
      </c>
      <c r="J82" s="11">
        <v>77760.0</v>
      </c>
      <c r="K82" s="11">
        <v>77167.0</v>
      </c>
      <c r="L82" s="11">
        <v>20.0</v>
      </c>
      <c r="M82" s="12" t="s">
        <v>38</v>
      </c>
      <c r="N82" s="12" t="s">
        <v>26</v>
      </c>
      <c r="O82" s="12" t="s">
        <v>26</v>
      </c>
      <c r="P82" s="13">
        <v>0.05941358024691358</v>
      </c>
      <c r="Q82" s="14">
        <f t="shared" si="1"/>
        <v>45589</v>
      </c>
      <c r="R82" s="13">
        <f t="shared" si="2"/>
        <v>4620</v>
      </c>
      <c r="S82" s="15" t="str">
        <f t="shared" si="3"/>
        <v>During Campaign</v>
      </c>
      <c r="T82" s="16">
        <f t="shared" si="4"/>
        <v>7418</v>
      </c>
      <c r="U82" s="15">
        <f t="shared" si="5"/>
        <v>43</v>
      </c>
    </row>
    <row r="83" ht="14.25" customHeight="1">
      <c r="A83" s="9" t="s">
        <v>123</v>
      </c>
      <c r="B83" s="9" t="s">
        <v>22</v>
      </c>
      <c r="C83" s="10">
        <v>45589.0</v>
      </c>
      <c r="D83" s="10" t="str">
        <f>IF(
  AND(C83 &gt;= 'Campaign Metadata'!J$2, C83 &lt;= 'Campaign Metadata'!H$2),
  'Campaign Metadata'!A$2,
IF(
  AND(C83 &gt;= 'Campaign Metadata'!J$3, C83 &lt;= 'Campaign Metadata'!H$3),
  'Campaign Metadata'!A$3,
IF(
  AND(C83 &gt;= 'Campaign Metadata'!J$4, C83 &lt;= 'Campaign Metadata'!H$4),
  'Campaign Metadata'!A$4,
IF(
  AND(C83 &gt;= 'Campaign Metadata'!J$5, C83 &lt;= 'Campaign Metadata'!H$5),
  'Campaign Metadata'!A$5,
"Outside Campaign"
))))
</f>
        <v>FestiveRadiance</v>
      </c>
      <c r="E83" s="9" t="s">
        <v>28</v>
      </c>
      <c r="F83" s="9" t="s">
        <v>29</v>
      </c>
      <c r="G83" s="11">
        <v>4303.0</v>
      </c>
      <c r="H83" s="11">
        <v>451.0</v>
      </c>
      <c r="I83" s="11">
        <v>286.0</v>
      </c>
      <c r="J83" s="11">
        <v>86060.0</v>
      </c>
      <c r="K83" s="11">
        <v>85823.0</v>
      </c>
      <c r="L83" s="11">
        <v>14.0</v>
      </c>
      <c r="M83" s="12" t="s">
        <v>25</v>
      </c>
      <c r="N83" s="12" t="s">
        <v>26</v>
      </c>
      <c r="O83" s="12" t="s">
        <v>26</v>
      </c>
      <c r="P83" s="13">
        <v>0.058563792702765516</v>
      </c>
      <c r="Q83" s="14">
        <f t="shared" si="1"/>
        <v>45589</v>
      </c>
      <c r="R83" s="13">
        <f t="shared" si="2"/>
        <v>5040</v>
      </c>
      <c r="S83" s="15" t="str">
        <f t="shared" si="3"/>
        <v>During Campaign</v>
      </c>
      <c r="T83" s="16">
        <f t="shared" si="4"/>
        <v>8656</v>
      </c>
      <c r="U83" s="15">
        <f t="shared" si="5"/>
        <v>43</v>
      </c>
    </row>
    <row r="84" ht="14.25" customHeight="1">
      <c r="A84" s="9" t="s">
        <v>124</v>
      </c>
      <c r="B84" s="9" t="s">
        <v>22</v>
      </c>
      <c r="C84" s="10">
        <v>45463.0</v>
      </c>
      <c r="D84" s="10" t="str">
        <f>IF(
  AND(C84 &gt;= 'Campaign Metadata'!J$2, C84 &lt;= 'Campaign Metadata'!H$2),
  'Campaign Metadata'!A$2,
IF(
  AND(C84 &gt;= 'Campaign Metadata'!J$3, C84 &lt;= 'Campaign Metadata'!H$3),
  'Campaign Metadata'!A$3,
IF(
  AND(C84 &gt;= 'Campaign Metadata'!J$4, C84 &lt;= 'Campaign Metadata'!H$4),
  'Campaign Metadata'!A$4,
IF(
  AND(C84 &gt;= 'Campaign Metadata'!J$5, C84 &lt;= 'Campaign Metadata'!H$5),
  'Campaign Metadata'!A$5,
"Outside Campaign"
))))
</f>
        <v>SummerSplash</v>
      </c>
      <c r="E84" s="9" t="s">
        <v>23</v>
      </c>
      <c r="F84" s="9" t="s">
        <v>24</v>
      </c>
      <c r="G84" s="11">
        <v>3798.0</v>
      </c>
      <c r="H84" s="11">
        <v>31.0</v>
      </c>
      <c r="I84" s="11">
        <v>279.0</v>
      </c>
      <c r="J84" s="11">
        <v>75960.0</v>
      </c>
      <c r="K84" s="11">
        <v>75813.0</v>
      </c>
      <c r="L84" s="11">
        <v>266.0</v>
      </c>
      <c r="M84" s="12" t="s">
        <v>25</v>
      </c>
      <c r="N84" s="12" t="s">
        <v>26</v>
      </c>
      <c r="O84" s="12" t="s">
        <v>26</v>
      </c>
      <c r="P84" s="13">
        <v>0.0540810953133228</v>
      </c>
      <c r="Q84" s="14">
        <f t="shared" si="1"/>
        <v>45463</v>
      </c>
      <c r="R84" s="13">
        <f t="shared" si="2"/>
        <v>4108</v>
      </c>
      <c r="S84" s="15" t="str">
        <f t="shared" si="3"/>
        <v>During Campaign</v>
      </c>
      <c r="T84" s="16">
        <f t="shared" si="4"/>
        <v>-10010</v>
      </c>
      <c r="U84" s="15">
        <f t="shared" si="5"/>
        <v>25</v>
      </c>
    </row>
    <row r="85" ht="14.25" customHeight="1">
      <c r="A85" s="9" t="s">
        <v>125</v>
      </c>
      <c r="B85" s="9" t="s">
        <v>126</v>
      </c>
      <c r="C85" s="10">
        <v>45445.0</v>
      </c>
      <c r="D85" s="10" t="str">
        <f>IF(
  AND(C85 &gt;= 'Campaign Metadata'!J$2, C85 &lt;= 'Campaign Metadata'!H$2),
  'Campaign Metadata'!A$2,
IF(
  AND(C85 &gt;= 'Campaign Metadata'!J$3, C85 &lt;= 'Campaign Metadata'!H$3),
  'Campaign Metadata'!A$3,
IF(
  AND(C85 &gt;= 'Campaign Metadata'!J$4, C85 &lt;= 'Campaign Metadata'!H$4),
  'Campaign Metadata'!A$4,
IF(
  AND(C85 &gt;= 'Campaign Metadata'!J$5, C85 &lt;= 'Campaign Metadata'!H$5),
  'Campaign Metadata'!A$5,
"Outside Campaign"
))))
</f>
        <v>SummerSplash</v>
      </c>
      <c r="E85" s="9" t="s">
        <v>31</v>
      </c>
      <c r="F85" s="9" t="s">
        <v>127</v>
      </c>
      <c r="G85" s="11">
        <v>84.0</v>
      </c>
      <c r="H85" s="11">
        <v>897.0</v>
      </c>
      <c r="I85" s="11">
        <v>85.0</v>
      </c>
      <c r="J85" s="11">
        <v>588.0</v>
      </c>
      <c r="K85" s="11">
        <v>8.0</v>
      </c>
      <c r="L85" s="11">
        <v>12.0</v>
      </c>
      <c r="M85" s="12" t="s">
        <v>33</v>
      </c>
      <c r="N85" s="12" t="s">
        <v>26</v>
      </c>
      <c r="O85" s="12" t="s">
        <v>26</v>
      </c>
      <c r="P85" s="13">
        <v>1.8129251700680271</v>
      </c>
      <c r="Q85" s="14">
        <f t="shared" si="1"/>
        <v>45445</v>
      </c>
      <c r="R85" s="13">
        <f t="shared" si="2"/>
        <v>1066</v>
      </c>
      <c r="S85" s="15" t="str">
        <f t="shared" si="3"/>
        <v>During Campaign</v>
      </c>
      <c r="T85" s="15">
        <f t="shared" si="4"/>
        <v>0</v>
      </c>
      <c r="U85" s="15">
        <f t="shared" si="5"/>
        <v>22</v>
      </c>
    </row>
    <row r="86" ht="14.25" customHeight="1">
      <c r="A86" s="9" t="s">
        <v>128</v>
      </c>
      <c r="B86" s="9" t="s">
        <v>126</v>
      </c>
      <c r="C86" s="10">
        <v>45762.0</v>
      </c>
      <c r="D86" s="10" t="str">
        <f>IF(
  AND(C86 &gt;= 'Campaign Metadata'!J$2, C86 &lt;= 'Campaign Metadata'!H$2),
  'Campaign Metadata'!A$2,
IF(
  AND(C86 &gt;= 'Campaign Metadata'!J$3, C86 &lt;= 'Campaign Metadata'!H$3),
  'Campaign Metadata'!A$3,
IF(
  AND(C86 &gt;= 'Campaign Metadata'!J$4, C86 &lt;= 'Campaign Metadata'!H$4),
  'Campaign Metadata'!A$4,
IF(
  AND(C86 &gt;= 'Campaign Metadata'!J$5, C86 &lt;= 'Campaign Metadata'!H$5),
  'Campaign Metadata'!A$5,
"Outside Campaign"
))))
</f>
        <v>Outside Campaign</v>
      </c>
      <c r="E86" s="9" t="s">
        <v>50</v>
      </c>
      <c r="F86" s="9" t="s">
        <v>129</v>
      </c>
      <c r="G86" s="11">
        <v>103.0</v>
      </c>
      <c r="H86" s="11">
        <v>770.0</v>
      </c>
      <c r="I86" s="11">
        <v>19.0</v>
      </c>
      <c r="J86" s="11">
        <v>1030.0</v>
      </c>
      <c r="K86" s="11">
        <v>410.0</v>
      </c>
      <c r="L86" s="11">
        <v>262.0</v>
      </c>
      <c r="M86" s="12" t="s">
        <v>25</v>
      </c>
      <c r="N86" s="12" t="s">
        <v>26</v>
      </c>
      <c r="O86" s="12" t="s">
        <v>26</v>
      </c>
      <c r="P86" s="13">
        <v>0.8660194174757282</v>
      </c>
      <c r="Q86" s="14">
        <f t="shared" si="1"/>
        <v>45762</v>
      </c>
      <c r="R86" s="13">
        <f t="shared" si="2"/>
        <v>892</v>
      </c>
      <c r="S86" s="15" t="str">
        <f t="shared" si="3"/>
        <v>Before Campaign</v>
      </c>
      <c r="T86" s="16">
        <f t="shared" si="4"/>
        <v>402</v>
      </c>
      <c r="U86" s="15">
        <f t="shared" si="5"/>
        <v>16</v>
      </c>
    </row>
    <row r="87" ht="14.25" customHeight="1">
      <c r="A87" s="9" t="s">
        <v>130</v>
      </c>
      <c r="B87" s="9" t="s">
        <v>126</v>
      </c>
      <c r="C87" s="10">
        <v>45603.0</v>
      </c>
      <c r="D87" s="10" t="str">
        <f>IF(
  AND(C87 &gt;= 'Campaign Metadata'!J$2, C87 &lt;= 'Campaign Metadata'!H$2),
  'Campaign Metadata'!A$2,
IF(
  AND(C87 &gt;= 'Campaign Metadata'!J$3, C87 &lt;= 'Campaign Metadata'!H$3),
  'Campaign Metadata'!A$3,
IF(
  AND(C87 &gt;= 'Campaign Metadata'!J$4, C87 &lt;= 'Campaign Metadata'!H$4),
  'Campaign Metadata'!A$4,
IF(
  AND(C87 &gt;= 'Campaign Metadata'!J$5, C87 &lt;= 'Campaign Metadata'!H$5),
  'Campaign Metadata'!A$5,
"Outside Campaign"
))))
</f>
        <v>FestiveRadiance</v>
      </c>
      <c r="E87" s="9" t="s">
        <v>23</v>
      </c>
      <c r="F87" s="9" t="s">
        <v>131</v>
      </c>
      <c r="G87" s="11">
        <v>129.0</v>
      </c>
      <c r="H87" s="11">
        <v>643.0</v>
      </c>
      <c r="I87" s="11">
        <v>136.0</v>
      </c>
      <c r="J87" s="11">
        <v>1290.0</v>
      </c>
      <c r="K87" s="11">
        <v>839.0</v>
      </c>
      <c r="L87" s="11">
        <v>238.0</v>
      </c>
      <c r="M87" s="12" t="s">
        <v>25</v>
      </c>
      <c r="N87" s="12" t="s">
        <v>26</v>
      </c>
      <c r="O87" s="12" t="s">
        <v>26</v>
      </c>
      <c r="P87" s="13">
        <v>0.703875968992248</v>
      </c>
      <c r="Q87" s="14">
        <f t="shared" si="1"/>
        <v>45603</v>
      </c>
      <c r="R87" s="13">
        <f t="shared" si="2"/>
        <v>908</v>
      </c>
      <c r="S87" s="15" t="str">
        <f t="shared" si="3"/>
        <v>During Campaign</v>
      </c>
      <c r="T87" s="16">
        <f t="shared" si="4"/>
        <v>429</v>
      </c>
      <c r="U87" s="15">
        <f t="shared" si="5"/>
        <v>45</v>
      </c>
    </row>
    <row r="88" ht="14.25" customHeight="1">
      <c r="A88" s="9" t="s">
        <v>132</v>
      </c>
      <c r="B88" s="9" t="s">
        <v>126</v>
      </c>
      <c r="C88" s="10">
        <v>45674.0</v>
      </c>
      <c r="D88" s="10" t="str">
        <f>IF(
  AND(C88 &gt;= 'Campaign Metadata'!J$2, C88 &lt;= 'Campaign Metadata'!H$2),
  'Campaign Metadata'!A$2,
IF(
  AND(C88 &gt;= 'Campaign Metadata'!J$3, C88 &lt;= 'Campaign Metadata'!H$3),
  'Campaign Metadata'!A$3,
IF(
  AND(C88 &gt;= 'Campaign Metadata'!J$4, C88 &lt;= 'Campaign Metadata'!H$4),
  'Campaign Metadata'!A$4,
IF(
  AND(C88 &gt;= 'Campaign Metadata'!J$5, C88 &lt;= 'Campaign Metadata'!H$5),
  'Campaign Metadata'!A$5,
"Outside Campaign"
))))
</f>
        <v>NewYearRefresh</v>
      </c>
      <c r="E88" s="9" t="s">
        <v>50</v>
      </c>
      <c r="F88" s="9" t="s">
        <v>129</v>
      </c>
      <c r="G88" s="11">
        <v>142.0</v>
      </c>
      <c r="H88" s="11">
        <v>784.0</v>
      </c>
      <c r="I88" s="11">
        <v>183.0</v>
      </c>
      <c r="J88" s="11">
        <v>1704.0</v>
      </c>
      <c r="K88" s="11">
        <v>995.0</v>
      </c>
      <c r="L88" s="11">
        <v>154.0</v>
      </c>
      <c r="M88" s="12" t="s">
        <v>38</v>
      </c>
      <c r="N88" s="12" t="s">
        <v>26</v>
      </c>
      <c r="O88" s="12" t="s">
        <v>26</v>
      </c>
      <c r="P88" s="13">
        <v>0.6508215962441315</v>
      </c>
      <c r="Q88" s="14">
        <f t="shared" si="1"/>
        <v>45674</v>
      </c>
      <c r="R88" s="13">
        <f t="shared" si="2"/>
        <v>1109</v>
      </c>
      <c r="S88" s="15" t="str">
        <f t="shared" si="3"/>
        <v>During Campaign</v>
      </c>
      <c r="T88" s="16">
        <f t="shared" si="4"/>
        <v>156</v>
      </c>
      <c r="U88" s="15">
        <f t="shared" si="5"/>
        <v>3</v>
      </c>
    </row>
    <row r="89" ht="14.25" customHeight="1">
      <c r="A89" s="9" t="s">
        <v>133</v>
      </c>
      <c r="B89" s="9" t="s">
        <v>126</v>
      </c>
      <c r="C89" s="10">
        <v>45649.0</v>
      </c>
      <c r="D89" s="10" t="str">
        <f>IF(
  AND(C89 &gt;= 'Campaign Metadata'!J$2, C89 &lt;= 'Campaign Metadata'!H$2),
  'Campaign Metadata'!A$2,
IF(
  AND(C89 &gt;= 'Campaign Metadata'!J$3, C89 &lt;= 'Campaign Metadata'!H$3),
  'Campaign Metadata'!A$3,
IF(
  AND(C89 &gt;= 'Campaign Metadata'!J$4, C89 &lt;= 'Campaign Metadata'!H$4),
  'Campaign Metadata'!A$4,
IF(
  AND(C89 &gt;= 'Campaign Metadata'!J$5, C89 &lt;= 'Campaign Metadata'!H$5),
  'Campaign Metadata'!A$5,
"Outside Campaign"
))))
</f>
        <v>FestiveRadiance</v>
      </c>
      <c r="E89" s="9" t="s">
        <v>28</v>
      </c>
      <c r="F89" s="9" t="s">
        <v>134</v>
      </c>
      <c r="G89" s="11">
        <v>521.0</v>
      </c>
      <c r="H89" s="11">
        <v>746.0</v>
      </c>
      <c r="I89" s="11">
        <v>315.0</v>
      </c>
      <c r="J89" s="11">
        <v>4168.0</v>
      </c>
      <c r="K89" s="11">
        <v>3399.0</v>
      </c>
      <c r="L89" s="11">
        <v>282.0</v>
      </c>
      <c r="M89" s="12" t="s">
        <v>38</v>
      </c>
      <c r="N89" s="12" t="s">
        <v>26</v>
      </c>
      <c r="O89" s="12" t="s">
        <v>26</v>
      </c>
      <c r="P89" s="13">
        <v>0.3795585412667946</v>
      </c>
      <c r="Q89" s="14">
        <f t="shared" si="1"/>
        <v>45649</v>
      </c>
      <c r="R89" s="13">
        <f t="shared" si="2"/>
        <v>1582</v>
      </c>
      <c r="S89" s="15" t="str">
        <f t="shared" si="3"/>
        <v>During Campaign</v>
      </c>
      <c r="T89" s="16">
        <f t="shared" si="4"/>
        <v>2404</v>
      </c>
      <c r="U89" s="15">
        <f t="shared" si="5"/>
        <v>52</v>
      </c>
    </row>
    <row r="90" ht="14.25" customHeight="1">
      <c r="A90" s="9" t="s">
        <v>135</v>
      </c>
      <c r="B90" s="9" t="s">
        <v>126</v>
      </c>
      <c r="C90" s="10">
        <v>45502.0</v>
      </c>
      <c r="D90" s="10" t="str">
        <f>IF(
  AND(C90 &gt;= 'Campaign Metadata'!J$2, C90 &lt;= 'Campaign Metadata'!H$2),
  'Campaign Metadata'!A$2,
IF(
  AND(C90 &gt;= 'Campaign Metadata'!J$3, C90 &lt;= 'Campaign Metadata'!H$3),
  'Campaign Metadata'!A$3,
IF(
  AND(C90 &gt;= 'Campaign Metadata'!J$4, C90 &lt;= 'Campaign Metadata'!H$4),
  'Campaign Metadata'!A$4,
IF(
  AND(C90 &gt;= 'Campaign Metadata'!J$5, C90 &lt;= 'Campaign Metadata'!H$5),
  'Campaign Metadata'!A$5,
"Outside Campaign"
))))
</f>
        <v>SummerSplash</v>
      </c>
      <c r="E90" s="9" t="s">
        <v>31</v>
      </c>
      <c r="F90" s="9" t="s">
        <v>127</v>
      </c>
      <c r="G90" s="11">
        <v>498.0</v>
      </c>
      <c r="H90" s="11">
        <v>701.0</v>
      </c>
      <c r="I90" s="11">
        <v>412.0</v>
      </c>
      <c r="J90" s="11">
        <v>4980.0</v>
      </c>
      <c r="K90" s="11">
        <v>4185.0</v>
      </c>
      <c r="L90" s="11">
        <v>185.0</v>
      </c>
      <c r="M90" s="12" t="s">
        <v>38</v>
      </c>
      <c r="N90" s="12" t="s">
        <v>26</v>
      </c>
      <c r="O90" s="12" t="s">
        <v>26</v>
      </c>
      <c r="P90" s="13">
        <v>0.32349397590361445</v>
      </c>
      <c r="Q90" s="14">
        <f t="shared" si="1"/>
        <v>45502</v>
      </c>
      <c r="R90" s="13">
        <f t="shared" si="2"/>
        <v>1611</v>
      </c>
      <c r="S90" s="15" t="str">
        <f t="shared" si="3"/>
        <v>During Campaign</v>
      </c>
      <c r="T90" s="16">
        <f t="shared" si="4"/>
        <v>786</v>
      </c>
      <c r="U90" s="15">
        <f t="shared" si="5"/>
        <v>31</v>
      </c>
    </row>
    <row r="91" ht="14.25" customHeight="1">
      <c r="A91" s="9" t="s">
        <v>136</v>
      </c>
      <c r="B91" s="9" t="s">
        <v>126</v>
      </c>
      <c r="C91" s="10">
        <v>45574.0</v>
      </c>
      <c r="D91" s="10" t="str">
        <f>IF(
  AND(C91 &gt;= 'Campaign Metadata'!J$2, C91 &lt;= 'Campaign Metadata'!H$2),
  'Campaign Metadata'!A$2,
IF(
  AND(C91 &gt;= 'Campaign Metadata'!J$3, C91 &lt;= 'Campaign Metadata'!H$3),
  'Campaign Metadata'!A$3,
IF(
  AND(C91 &gt;= 'Campaign Metadata'!J$4, C91 &lt;= 'Campaign Metadata'!H$4),
  'Campaign Metadata'!A$4,
IF(
  AND(C91 &gt;= 'Campaign Metadata'!J$5, C91 &lt;= 'Campaign Metadata'!H$5),
  'Campaign Metadata'!A$5,
"Outside Campaign"
))))
</f>
        <v>FestiveRadiance</v>
      </c>
      <c r="E91" s="9" t="s">
        <v>47</v>
      </c>
      <c r="F91" s="9" t="s">
        <v>137</v>
      </c>
      <c r="G91" s="11">
        <v>985.0</v>
      </c>
      <c r="H91" s="11">
        <v>932.0</v>
      </c>
      <c r="I91" s="11">
        <v>287.0</v>
      </c>
      <c r="J91" s="11">
        <v>6895.0</v>
      </c>
      <c r="K91" s="11">
        <v>6757.0</v>
      </c>
      <c r="L91" s="11">
        <v>64.0</v>
      </c>
      <c r="M91" s="12" t="s">
        <v>38</v>
      </c>
      <c r="N91" s="12" t="s">
        <v>26</v>
      </c>
      <c r="O91" s="12" t="s">
        <v>26</v>
      </c>
      <c r="P91" s="13">
        <v>0.31965192168237855</v>
      </c>
      <c r="Q91" s="14">
        <f t="shared" si="1"/>
        <v>45574</v>
      </c>
      <c r="R91" s="13">
        <f t="shared" si="2"/>
        <v>2204</v>
      </c>
      <c r="S91" s="15" t="str">
        <f t="shared" si="3"/>
        <v>During Campaign</v>
      </c>
      <c r="T91" s="16">
        <f t="shared" si="4"/>
        <v>2572</v>
      </c>
      <c r="U91" s="15">
        <f t="shared" si="5"/>
        <v>41</v>
      </c>
    </row>
    <row r="92" ht="14.25" customHeight="1">
      <c r="A92" s="9" t="s">
        <v>138</v>
      </c>
      <c r="B92" s="9" t="s">
        <v>126</v>
      </c>
      <c r="C92" s="10">
        <v>45695.0</v>
      </c>
      <c r="D92" s="10" t="str">
        <f>IF(
  AND(C92 &gt;= 'Campaign Metadata'!J$2, C92 &lt;= 'Campaign Metadata'!H$2),
  'Campaign Metadata'!A$2,
IF(
  AND(C92 &gt;= 'Campaign Metadata'!J$3, C92 &lt;= 'Campaign Metadata'!H$3),
  'Campaign Metadata'!A$3,
IF(
  AND(C92 &gt;= 'Campaign Metadata'!J$4, C92 &lt;= 'Campaign Metadata'!H$4),
  'Campaign Metadata'!A$4,
IF(
  AND(C92 &gt;= 'Campaign Metadata'!J$5, C92 &lt;= 'Campaign Metadata'!H$5),
  'Campaign Metadata'!A$5,
"Outside Campaign"
))))
</f>
        <v>NewYearRefresh</v>
      </c>
      <c r="E92" s="9" t="s">
        <v>50</v>
      </c>
      <c r="F92" s="9" t="s">
        <v>129</v>
      </c>
      <c r="G92" s="11">
        <v>1970.0</v>
      </c>
      <c r="H92" s="11">
        <v>675.0</v>
      </c>
      <c r="I92" s="11">
        <v>478.0</v>
      </c>
      <c r="J92" s="11">
        <v>9850.0</v>
      </c>
      <c r="K92" s="11">
        <v>8924.0</v>
      </c>
      <c r="L92" s="11">
        <v>117.0</v>
      </c>
      <c r="M92" s="12" t="s">
        <v>38</v>
      </c>
      <c r="N92" s="12" t="s">
        <v>26</v>
      </c>
      <c r="O92" s="12" t="s">
        <v>26</v>
      </c>
      <c r="P92" s="13">
        <v>0.3170558375634518</v>
      </c>
      <c r="Q92" s="14">
        <f t="shared" si="1"/>
        <v>45695</v>
      </c>
      <c r="R92" s="13">
        <f t="shared" si="2"/>
        <v>3123</v>
      </c>
      <c r="S92" s="15" t="str">
        <f t="shared" si="3"/>
        <v>During Campaign</v>
      </c>
      <c r="T92" s="16">
        <f t="shared" si="4"/>
        <v>2167</v>
      </c>
      <c r="U92" s="15">
        <f t="shared" si="5"/>
        <v>6</v>
      </c>
    </row>
    <row r="93" ht="14.25" customHeight="1">
      <c r="A93" s="9" t="s">
        <v>139</v>
      </c>
      <c r="B93" s="9" t="s">
        <v>126</v>
      </c>
      <c r="C93" s="10">
        <v>45519.0</v>
      </c>
      <c r="D93" s="10" t="str">
        <f>IF(
  AND(C93 &gt;= 'Campaign Metadata'!J$2, C93 &lt;= 'Campaign Metadata'!H$2),
  'Campaign Metadata'!A$2,
IF(
  AND(C93 &gt;= 'Campaign Metadata'!J$3, C93 &lt;= 'Campaign Metadata'!H$3),
  'Campaign Metadata'!A$3,
IF(
  AND(C93 &gt;= 'Campaign Metadata'!J$4, C93 &lt;= 'Campaign Metadata'!H$4),
  'Campaign Metadata'!A$4,
IF(
  AND(C93 &gt;= 'Campaign Metadata'!J$5, C93 &lt;= 'Campaign Metadata'!H$5),
  'Campaign Metadata'!A$5,
"Outside Campaign"
))))
</f>
        <v>SummerSplash</v>
      </c>
      <c r="E93" s="9" t="s">
        <v>50</v>
      </c>
      <c r="F93" s="9" t="s">
        <v>129</v>
      </c>
      <c r="G93" s="11">
        <v>1164.0</v>
      </c>
      <c r="H93" s="11">
        <v>616.0</v>
      </c>
      <c r="I93" s="11">
        <v>324.0</v>
      </c>
      <c r="J93" s="11">
        <v>6984.0</v>
      </c>
      <c r="K93" s="11">
        <v>6636.0</v>
      </c>
      <c r="L93" s="11">
        <v>82.0</v>
      </c>
      <c r="M93" s="12" t="s">
        <v>33</v>
      </c>
      <c r="N93" s="12" t="s">
        <v>26</v>
      </c>
      <c r="O93" s="12" t="s">
        <v>26</v>
      </c>
      <c r="P93" s="13">
        <v>0.30126002290950743</v>
      </c>
      <c r="Q93" s="14">
        <f t="shared" si="1"/>
        <v>45519</v>
      </c>
      <c r="R93" s="13">
        <f t="shared" si="2"/>
        <v>2104</v>
      </c>
      <c r="S93" s="15" t="str">
        <f t="shared" si="3"/>
        <v>During Campaign</v>
      </c>
      <c r="T93" s="16">
        <f t="shared" si="4"/>
        <v>-2288</v>
      </c>
      <c r="U93" s="15">
        <f t="shared" si="5"/>
        <v>33</v>
      </c>
    </row>
    <row r="94" ht="14.25" customHeight="1">
      <c r="A94" s="9" t="s">
        <v>140</v>
      </c>
      <c r="B94" s="9" t="s">
        <v>126</v>
      </c>
      <c r="C94" s="10">
        <v>45658.0</v>
      </c>
      <c r="D94" s="10" t="str">
        <f>IF(
  AND(C94 &gt;= 'Campaign Metadata'!J$2, C94 &lt;= 'Campaign Metadata'!H$2),
  'Campaign Metadata'!A$2,
IF(
  AND(C94 &gt;= 'Campaign Metadata'!J$3, C94 &lt;= 'Campaign Metadata'!H$3),
  'Campaign Metadata'!A$3,
IF(
  AND(C94 &gt;= 'Campaign Metadata'!J$4, C94 &lt;= 'Campaign Metadata'!H$4),
  'Campaign Metadata'!A$4,
IF(
  AND(C94 &gt;= 'Campaign Metadata'!J$5, C94 &lt;= 'Campaign Metadata'!H$5),
  'Campaign Metadata'!A$5,
"Outside Campaign"
))))
</f>
        <v>NewYearRefresh</v>
      </c>
      <c r="E94" s="9" t="s">
        <v>47</v>
      </c>
      <c r="F94" s="9" t="s">
        <v>137</v>
      </c>
      <c r="G94" s="11">
        <v>2234.0</v>
      </c>
      <c r="H94" s="11">
        <v>653.0</v>
      </c>
      <c r="I94" s="11">
        <v>432.0</v>
      </c>
      <c r="J94" s="11">
        <v>11170.0</v>
      </c>
      <c r="K94" s="11">
        <v>10569.0</v>
      </c>
      <c r="L94" s="11">
        <v>198.0</v>
      </c>
      <c r="M94" s="12" t="s">
        <v>38</v>
      </c>
      <c r="N94" s="12" t="s">
        <v>26</v>
      </c>
      <c r="O94" s="12" t="s">
        <v>26</v>
      </c>
      <c r="P94" s="13">
        <v>0.2971351835273053</v>
      </c>
      <c r="Q94" s="14">
        <f t="shared" si="1"/>
        <v>45658</v>
      </c>
      <c r="R94" s="13">
        <f t="shared" si="2"/>
        <v>3319</v>
      </c>
      <c r="S94" s="15" t="str">
        <f t="shared" si="3"/>
        <v>During Campaign</v>
      </c>
      <c r="T94" s="16">
        <f t="shared" si="4"/>
        <v>3933</v>
      </c>
      <c r="U94" s="15">
        <f t="shared" si="5"/>
        <v>1</v>
      </c>
    </row>
    <row r="95" ht="14.25" customHeight="1">
      <c r="A95" s="9" t="s">
        <v>141</v>
      </c>
      <c r="B95" s="9" t="s">
        <v>126</v>
      </c>
      <c r="C95" s="10">
        <v>45643.0</v>
      </c>
      <c r="D95" s="10" t="str">
        <f>IF(
  AND(C95 &gt;= 'Campaign Metadata'!J$2, C95 &lt;= 'Campaign Metadata'!H$2),
  'Campaign Metadata'!A$2,
IF(
  AND(C95 &gt;= 'Campaign Metadata'!J$3, C95 &lt;= 'Campaign Metadata'!H$3),
  'Campaign Metadata'!A$3,
IF(
  AND(C95 &gt;= 'Campaign Metadata'!J$4, C95 &lt;= 'Campaign Metadata'!H$4),
  'Campaign Metadata'!A$4,
IF(
  AND(C95 &gt;= 'Campaign Metadata'!J$5, C95 &lt;= 'Campaign Metadata'!H$5),
  'Campaign Metadata'!A$5,
"Outside Campaign"
))))
</f>
        <v>FestiveRadiance</v>
      </c>
      <c r="E95" s="9" t="s">
        <v>31</v>
      </c>
      <c r="F95" s="9" t="s">
        <v>127</v>
      </c>
      <c r="G95" s="11">
        <v>360.0</v>
      </c>
      <c r="H95" s="11">
        <v>590.0</v>
      </c>
      <c r="I95" s="11">
        <v>393.0</v>
      </c>
      <c r="J95" s="11">
        <v>4680.0</v>
      </c>
      <c r="K95" s="11">
        <v>4322.0</v>
      </c>
      <c r="L95" s="11">
        <v>208.0</v>
      </c>
      <c r="M95" s="12" t="s">
        <v>38</v>
      </c>
      <c r="N95" s="12" t="s">
        <v>26</v>
      </c>
      <c r="O95" s="12" t="s">
        <v>26</v>
      </c>
      <c r="P95" s="13">
        <v>0.28696581196581195</v>
      </c>
      <c r="Q95" s="14">
        <f t="shared" si="1"/>
        <v>45643</v>
      </c>
      <c r="R95" s="13">
        <f t="shared" si="2"/>
        <v>1343</v>
      </c>
      <c r="S95" s="15" t="str">
        <f t="shared" si="3"/>
        <v>During Campaign</v>
      </c>
      <c r="T95" s="16">
        <f t="shared" si="4"/>
        <v>-6247</v>
      </c>
      <c r="U95" s="15">
        <f t="shared" si="5"/>
        <v>51</v>
      </c>
    </row>
    <row r="96" ht="14.25" customHeight="1">
      <c r="A96" s="9" t="s">
        <v>142</v>
      </c>
      <c r="B96" s="9" t="s">
        <v>126</v>
      </c>
      <c r="C96" s="10">
        <v>45642.0</v>
      </c>
      <c r="D96" s="10" t="str">
        <f>IF(
  AND(C96 &gt;= 'Campaign Metadata'!J$2, C96 &lt;= 'Campaign Metadata'!H$2),
  'Campaign Metadata'!A$2,
IF(
  AND(C96 &gt;= 'Campaign Metadata'!J$3, C96 &lt;= 'Campaign Metadata'!H$3),
  'Campaign Metadata'!A$3,
IF(
  AND(C96 &gt;= 'Campaign Metadata'!J$4, C96 &lt;= 'Campaign Metadata'!H$4),
  'Campaign Metadata'!A$4,
IF(
  AND(C96 &gt;= 'Campaign Metadata'!J$5, C96 &lt;= 'Campaign Metadata'!H$5),
  'Campaign Metadata'!A$5,
"Outside Campaign"
))))
</f>
        <v>FestiveRadiance</v>
      </c>
      <c r="E96" s="9" t="s">
        <v>35</v>
      </c>
      <c r="F96" s="9" t="s">
        <v>143</v>
      </c>
      <c r="G96" s="11">
        <v>438.0</v>
      </c>
      <c r="H96" s="11">
        <v>153.0</v>
      </c>
      <c r="I96" s="11">
        <v>275.0</v>
      </c>
      <c r="J96" s="11">
        <v>3066.0</v>
      </c>
      <c r="K96" s="11">
        <v>2701.0</v>
      </c>
      <c r="L96" s="11">
        <v>282.0</v>
      </c>
      <c r="M96" s="12" t="s">
        <v>25</v>
      </c>
      <c r="N96" s="12" t="s">
        <v>26</v>
      </c>
      <c r="O96" s="12" t="s">
        <v>26</v>
      </c>
      <c r="P96" s="13">
        <v>0.28245270711024134</v>
      </c>
      <c r="Q96" s="14">
        <f t="shared" si="1"/>
        <v>45642</v>
      </c>
      <c r="R96" s="13">
        <f t="shared" si="2"/>
        <v>866</v>
      </c>
      <c r="S96" s="15" t="str">
        <f t="shared" si="3"/>
        <v>During Campaign</v>
      </c>
      <c r="T96" s="16">
        <f t="shared" si="4"/>
        <v>-1621</v>
      </c>
      <c r="U96" s="15">
        <f t="shared" si="5"/>
        <v>51</v>
      </c>
    </row>
    <row r="97" ht="14.25" customHeight="1">
      <c r="A97" s="9" t="s">
        <v>144</v>
      </c>
      <c r="B97" s="9" t="s">
        <v>126</v>
      </c>
      <c r="C97" s="10">
        <v>45637.0</v>
      </c>
      <c r="D97" s="10" t="str">
        <f>IF(
  AND(C97 &gt;= 'Campaign Metadata'!J$2, C97 &lt;= 'Campaign Metadata'!H$2),
  'Campaign Metadata'!A$2,
IF(
  AND(C97 &gt;= 'Campaign Metadata'!J$3, C97 &lt;= 'Campaign Metadata'!H$3),
  'Campaign Metadata'!A$3,
IF(
  AND(C97 &gt;= 'Campaign Metadata'!J$4, C97 &lt;= 'Campaign Metadata'!H$4),
  'Campaign Metadata'!A$4,
IF(
  AND(C97 &gt;= 'Campaign Metadata'!J$5, C97 &lt;= 'Campaign Metadata'!H$5),
  'Campaign Metadata'!A$5,
"Outside Campaign"
))))
</f>
        <v>FestiveRadiance</v>
      </c>
      <c r="E97" s="9" t="s">
        <v>23</v>
      </c>
      <c r="F97" s="9" t="s">
        <v>131</v>
      </c>
      <c r="G97" s="11">
        <v>1431.0</v>
      </c>
      <c r="H97" s="11">
        <v>951.0</v>
      </c>
      <c r="I97" s="11">
        <v>26.0</v>
      </c>
      <c r="J97" s="11">
        <v>8586.0</v>
      </c>
      <c r="K97" s="11">
        <v>8396.0</v>
      </c>
      <c r="L97" s="11">
        <v>150.0</v>
      </c>
      <c r="M97" s="12" t="s">
        <v>33</v>
      </c>
      <c r="N97" s="12" t="s">
        <v>26</v>
      </c>
      <c r="O97" s="12" t="s">
        <v>26</v>
      </c>
      <c r="P97" s="13">
        <v>0.28045655718611695</v>
      </c>
      <c r="Q97" s="14">
        <f t="shared" si="1"/>
        <v>45637</v>
      </c>
      <c r="R97" s="13">
        <f t="shared" si="2"/>
        <v>2408</v>
      </c>
      <c r="S97" s="15" t="str">
        <f t="shared" si="3"/>
        <v>During Campaign</v>
      </c>
      <c r="T97" s="16">
        <f t="shared" si="4"/>
        <v>5695</v>
      </c>
      <c r="U97" s="15">
        <f t="shared" si="5"/>
        <v>50</v>
      </c>
    </row>
    <row r="98" ht="14.25" customHeight="1">
      <c r="A98" s="9" t="s">
        <v>145</v>
      </c>
      <c r="B98" s="9" t="s">
        <v>126</v>
      </c>
      <c r="C98" s="10">
        <v>45524.0</v>
      </c>
      <c r="D98" s="10" t="str">
        <f>IF(
  AND(C98 &gt;= 'Campaign Metadata'!J$2, C98 &lt;= 'Campaign Metadata'!H$2),
  'Campaign Metadata'!A$2,
IF(
  AND(C98 &gt;= 'Campaign Metadata'!J$3, C98 &lt;= 'Campaign Metadata'!H$3),
  'Campaign Metadata'!A$3,
IF(
  AND(C98 &gt;= 'Campaign Metadata'!J$4, C98 &lt;= 'Campaign Metadata'!H$4),
  'Campaign Metadata'!A$4,
IF(
  AND(C98 &gt;= 'Campaign Metadata'!J$5, C98 &lt;= 'Campaign Metadata'!H$5),
  'Campaign Metadata'!A$5,
"Outside Campaign"
))))
</f>
        <v>SummerSplash</v>
      </c>
      <c r="E98" s="9" t="s">
        <v>50</v>
      </c>
      <c r="F98" s="9" t="s">
        <v>129</v>
      </c>
      <c r="G98" s="11">
        <v>2603.0</v>
      </c>
      <c r="H98" s="11">
        <v>690.0</v>
      </c>
      <c r="I98" s="11">
        <v>205.0</v>
      </c>
      <c r="J98" s="11">
        <v>13015.0</v>
      </c>
      <c r="K98" s="11">
        <v>12130.0</v>
      </c>
      <c r="L98" s="11">
        <v>20.0</v>
      </c>
      <c r="M98" s="12" t="s">
        <v>38</v>
      </c>
      <c r="N98" s="12" t="s">
        <v>26</v>
      </c>
      <c r="O98" s="12" t="s">
        <v>26</v>
      </c>
      <c r="P98" s="13">
        <v>0.26876680752977333</v>
      </c>
      <c r="Q98" s="14">
        <f t="shared" si="1"/>
        <v>45524</v>
      </c>
      <c r="R98" s="13">
        <f t="shared" si="2"/>
        <v>3498</v>
      </c>
      <c r="S98" s="15" t="str">
        <f t="shared" si="3"/>
        <v>During Campaign</v>
      </c>
      <c r="T98" s="16">
        <f t="shared" si="4"/>
        <v>3734</v>
      </c>
      <c r="U98" s="15">
        <f t="shared" si="5"/>
        <v>34</v>
      </c>
    </row>
    <row r="99" ht="14.25" customHeight="1">
      <c r="A99" s="9" t="s">
        <v>146</v>
      </c>
      <c r="B99" s="9" t="s">
        <v>126</v>
      </c>
      <c r="C99" s="10">
        <v>45511.0</v>
      </c>
      <c r="D99" s="10" t="str">
        <f>IF(
  AND(C99 &gt;= 'Campaign Metadata'!J$2, C99 &lt;= 'Campaign Metadata'!H$2),
  'Campaign Metadata'!A$2,
IF(
  AND(C99 &gt;= 'Campaign Metadata'!J$3, C99 &lt;= 'Campaign Metadata'!H$3),
  'Campaign Metadata'!A$3,
IF(
  AND(C99 &gt;= 'Campaign Metadata'!J$4, C99 &lt;= 'Campaign Metadata'!H$4),
  'Campaign Metadata'!A$4,
IF(
  AND(C99 &gt;= 'Campaign Metadata'!J$5, C99 &lt;= 'Campaign Metadata'!H$5),
  'Campaign Metadata'!A$5,
"Outside Campaign"
))))
</f>
        <v>SummerSplash</v>
      </c>
      <c r="E99" s="9" t="s">
        <v>47</v>
      </c>
      <c r="F99" s="9" t="s">
        <v>137</v>
      </c>
      <c r="G99" s="11">
        <v>1741.0</v>
      </c>
      <c r="H99" s="11">
        <v>164.0</v>
      </c>
      <c r="I99" s="11">
        <v>318.0</v>
      </c>
      <c r="J99" s="11">
        <v>8705.0</v>
      </c>
      <c r="K99" s="11">
        <v>8272.0</v>
      </c>
      <c r="L99" s="11">
        <v>121.0</v>
      </c>
      <c r="M99" s="12" t="s">
        <v>25</v>
      </c>
      <c r="N99" s="12" t="s">
        <v>26</v>
      </c>
      <c r="O99" s="12" t="s">
        <v>26</v>
      </c>
      <c r="P99" s="13">
        <v>0.2553704767375072</v>
      </c>
      <c r="Q99" s="14">
        <f t="shared" si="1"/>
        <v>45511</v>
      </c>
      <c r="R99" s="13">
        <f t="shared" si="2"/>
        <v>2223</v>
      </c>
      <c r="S99" s="15" t="str">
        <f t="shared" si="3"/>
        <v>During Campaign</v>
      </c>
      <c r="T99" s="16">
        <f t="shared" si="4"/>
        <v>-3858</v>
      </c>
      <c r="U99" s="15">
        <f t="shared" si="5"/>
        <v>32</v>
      </c>
    </row>
    <row r="100" ht="14.25" customHeight="1">
      <c r="A100" s="9" t="s">
        <v>147</v>
      </c>
      <c r="B100" s="9" t="s">
        <v>126</v>
      </c>
      <c r="C100" s="10">
        <v>45457.0</v>
      </c>
      <c r="D100" s="10" t="str">
        <f>IF(
  AND(C100 &gt;= 'Campaign Metadata'!J$2, C100 &lt;= 'Campaign Metadata'!H$2),
  'Campaign Metadata'!A$2,
IF(
  AND(C100 &gt;= 'Campaign Metadata'!J$3, C100 &lt;= 'Campaign Metadata'!H$3),
  'Campaign Metadata'!A$3,
IF(
  AND(C100 &gt;= 'Campaign Metadata'!J$4, C100 &lt;= 'Campaign Metadata'!H$4),
  'Campaign Metadata'!A$4,
IF(
  AND(C100 &gt;= 'Campaign Metadata'!J$5, C100 &lt;= 'Campaign Metadata'!H$5),
  'Campaign Metadata'!A$5,
"Outside Campaign"
))))
</f>
        <v>SummerSplash</v>
      </c>
      <c r="E100" s="9" t="s">
        <v>31</v>
      </c>
      <c r="F100" s="9" t="s">
        <v>127</v>
      </c>
      <c r="G100" s="11">
        <v>4363.0</v>
      </c>
      <c r="H100" s="11">
        <v>649.0</v>
      </c>
      <c r="I100" s="11">
        <v>140.0</v>
      </c>
      <c r="J100" s="11">
        <v>21815.0</v>
      </c>
      <c r="K100" s="11">
        <v>21481.0</v>
      </c>
      <c r="L100" s="11">
        <v>157.0</v>
      </c>
      <c r="M100" s="12" t="s">
        <v>33</v>
      </c>
      <c r="N100" s="12" t="s">
        <v>26</v>
      </c>
      <c r="O100" s="12" t="s">
        <v>26</v>
      </c>
      <c r="P100" s="13">
        <v>0.2361677744671098</v>
      </c>
      <c r="Q100" s="14">
        <f t="shared" si="1"/>
        <v>45457</v>
      </c>
      <c r="R100" s="13">
        <f t="shared" si="2"/>
        <v>5152</v>
      </c>
      <c r="S100" s="15" t="str">
        <f t="shared" si="3"/>
        <v>During Campaign</v>
      </c>
      <c r="T100" s="16">
        <f t="shared" si="4"/>
        <v>13209</v>
      </c>
      <c r="U100" s="15">
        <f t="shared" si="5"/>
        <v>24</v>
      </c>
    </row>
    <row r="101" ht="14.25" customHeight="1">
      <c r="A101" s="9" t="s">
        <v>148</v>
      </c>
      <c r="B101" s="9" t="s">
        <v>126</v>
      </c>
      <c r="C101" s="10">
        <v>45755.0</v>
      </c>
      <c r="D101" s="10" t="str">
        <f>IF(
  AND(C101 &gt;= 'Campaign Metadata'!J$2, C101 &lt;= 'Campaign Metadata'!H$2),
  'Campaign Metadata'!A$2,
IF(
  AND(C101 &gt;= 'Campaign Metadata'!J$3, C101 &lt;= 'Campaign Metadata'!H$3),
  'Campaign Metadata'!A$3,
IF(
  AND(C101 &gt;= 'Campaign Metadata'!J$4, C101 &lt;= 'Campaign Metadata'!H$4),
  'Campaign Metadata'!A$4,
IF(
  AND(C101 &gt;= 'Campaign Metadata'!J$5, C101 &lt;= 'Campaign Metadata'!H$5),
  'Campaign Metadata'!A$5,
"Outside Campaign"
))))
</f>
        <v>Outside Campaign</v>
      </c>
      <c r="E101" s="9" t="s">
        <v>28</v>
      </c>
      <c r="F101" s="9" t="s">
        <v>134</v>
      </c>
      <c r="G101" s="11">
        <v>4501.0</v>
      </c>
      <c r="H101" s="11">
        <v>375.0</v>
      </c>
      <c r="I101" s="11">
        <v>323.0</v>
      </c>
      <c r="J101" s="11">
        <v>22505.0</v>
      </c>
      <c r="K101" s="11">
        <v>21836.0</v>
      </c>
      <c r="L101" s="11">
        <v>132.0</v>
      </c>
      <c r="M101" s="12" t="s">
        <v>25</v>
      </c>
      <c r="N101" s="12" t="s">
        <v>26</v>
      </c>
      <c r="O101" s="12" t="s">
        <v>26</v>
      </c>
      <c r="P101" s="13">
        <v>0.23101532992668297</v>
      </c>
      <c r="Q101" s="14">
        <f t="shared" si="1"/>
        <v>45755</v>
      </c>
      <c r="R101" s="13">
        <f t="shared" si="2"/>
        <v>5199</v>
      </c>
      <c r="S101" s="15" t="str">
        <f t="shared" si="3"/>
        <v>Before Campaign</v>
      </c>
      <c r="T101" s="16">
        <f t="shared" si="4"/>
        <v>355</v>
      </c>
      <c r="U101" s="15">
        <f t="shared" si="5"/>
        <v>15</v>
      </c>
    </row>
    <row r="102" ht="14.25" customHeight="1">
      <c r="A102" s="9" t="s">
        <v>149</v>
      </c>
      <c r="B102" s="9" t="s">
        <v>126</v>
      </c>
      <c r="C102" s="10">
        <v>45601.0</v>
      </c>
      <c r="D102" s="10" t="str">
        <f>IF(
  AND(C102 &gt;= 'Campaign Metadata'!J$2, C102 &lt;= 'Campaign Metadata'!H$2),
  'Campaign Metadata'!A$2,
IF(
  AND(C102 &gt;= 'Campaign Metadata'!J$3, C102 &lt;= 'Campaign Metadata'!H$3),
  'Campaign Metadata'!A$3,
IF(
  AND(C102 &gt;= 'Campaign Metadata'!J$4, C102 &lt;= 'Campaign Metadata'!H$4),
  'Campaign Metadata'!A$4,
IF(
  AND(C102 &gt;= 'Campaign Metadata'!J$5, C102 &lt;= 'Campaign Metadata'!H$5),
  'Campaign Metadata'!A$5,
"Outside Campaign"
))))
</f>
        <v>FestiveRadiance</v>
      </c>
      <c r="E102" s="9" t="s">
        <v>23</v>
      </c>
      <c r="F102" s="9" t="s">
        <v>131</v>
      </c>
      <c r="G102" s="11">
        <v>4561.0</v>
      </c>
      <c r="H102" s="11">
        <v>51.0</v>
      </c>
      <c r="I102" s="11">
        <v>441.0</v>
      </c>
      <c r="J102" s="11">
        <v>22805.0</v>
      </c>
      <c r="K102" s="11">
        <v>21890.0</v>
      </c>
      <c r="L102" s="11">
        <v>45.0</v>
      </c>
      <c r="M102" s="12" t="s">
        <v>25</v>
      </c>
      <c r="N102" s="12" t="s">
        <v>26</v>
      </c>
      <c r="O102" s="12" t="s">
        <v>26</v>
      </c>
      <c r="P102" s="13">
        <v>0.22157421618066214</v>
      </c>
      <c r="Q102" s="14">
        <f t="shared" si="1"/>
        <v>45601</v>
      </c>
      <c r="R102" s="13">
        <f t="shared" si="2"/>
        <v>5053</v>
      </c>
      <c r="S102" s="15" t="str">
        <f t="shared" si="3"/>
        <v>During Campaign</v>
      </c>
      <c r="T102" s="16">
        <f t="shared" si="4"/>
        <v>54</v>
      </c>
      <c r="U102" s="15">
        <f t="shared" si="5"/>
        <v>45</v>
      </c>
    </row>
    <row r="103" ht="14.25" customHeight="1">
      <c r="A103" s="9" t="s">
        <v>150</v>
      </c>
      <c r="B103" s="9" t="s">
        <v>126</v>
      </c>
      <c r="C103" s="10">
        <v>45640.0</v>
      </c>
      <c r="D103" s="10" t="str">
        <f>IF(
  AND(C103 &gt;= 'Campaign Metadata'!J$2, C103 &lt;= 'Campaign Metadata'!H$2),
  'Campaign Metadata'!A$2,
IF(
  AND(C103 &gt;= 'Campaign Metadata'!J$3, C103 &lt;= 'Campaign Metadata'!H$3),
  'Campaign Metadata'!A$3,
IF(
  AND(C103 &gt;= 'Campaign Metadata'!J$4, C103 &lt;= 'Campaign Metadata'!H$4),
  'Campaign Metadata'!A$4,
IF(
  AND(C103 &gt;= 'Campaign Metadata'!J$5, C103 &lt;= 'Campaign Metadata'!H$5),
  'Campaign Metadata'!A$5,
"Outside Campaign"
))))
</f>
        <v>FestiveRadiance</v>
      </c>
      <c r="E103" s="9" t="s">
        <v>47</v>
      </c>
      <c r="F103" s="9" t="s">
        <v>137</v>
      </c>
      <c r="G103" s="11">
        <v>2174.0</v>
      </c>
      <c r="H103" s="11">
        <v>658.0</v>
      </c>
      <c r="I103" s="11">
        <v>15.0</v>
      </c>
      <c r="J103" s="11">
        <v>13044.0</v>
      </c>
      <c r="K103" s="11">
        <v>12206.0</v>
      </c>
      <c r="L103" s="11">
        <v>137.0</v>
      </c>
      <c r="M103" s="12" t="s">
        <v>25</v>
      </c>
      <c r="N103" s="12" t="s">
        <v>26</v>
      </c>
      <c r="O103" s="12" t="s">
        <v>26</v>
      </c>
      <c r="P103" s="13">
        <v>0.21826126954921804</v>
      </c>
      <c r="Q103" s="14">
        <f t="shared" si="1"/>
        <v>45640</v>
      </c>
      <c r="R103" s="13">
        <f t="shared" si="2"/>
        <v>2847</v>
      </c>
      <c r="S103" s="15" t="str">
        <f t="shared" si="3"/>
        <v>During Campaign</v>
      </c>
      <c r="T103" s="16">
        <f t="shared" si="4"/>
        <v>-9684</v>
      </c>
      <c r="U103" s="15">
        <f t="shared" si="5"/>
        <v>50</v>
      </c>
    </row>
    <row r="104" ht="14.25" customHeight="1">
      <c r="A104" s="9" t="s">
        <v>151</v>
      </c>
      <c r="B104" s="9" t="s">
        <v>126</v>
      </c>
      <c r="C104" s="10">
        <v>45688.0</v>
      </c>
      <c r="D104" s="10" t="str">
        <f>IF(
  AND(C104 &gt;= 'Campaign Metadata'!J$2, C104 &lt;= 'Campaign Metadata'!H$2),
  'Campaign Metadata'!A$2,
IF(
  AND(C104 &gt;= 'Campaign Metadata'!J$3, C104 &lt;= 'Campaign Metadata'!H$3),
  'Campaign Metadata'!A$3,
IF(
  AND(C104 &gt;= 'Campaign Metadata'!J$4, C104 &lt;= 'Campaign Metadata'!H$4),
  'Campaign Metadata'!A$4,
IF(
  AND(C104 &gt;= 'Campaign Metadata'!J$5, C104 &lt;= 'Campaign Metadata'!H$5),
  'Campaign Metadata'!A$5,
"Outside Campaign"
))))
</f>
        <v>NewYearRefresh</v>
      </c>
      <c r="E104" s="9" t="s">
        <v>47</v>
      </c>
      <c r="F104" s="9" t="s">
        <v>137</v>
      </c>
      <c r="G104" s="11">
        <v>2566.0</v>
      </c>
      <c r="H104" s="11">
        <v>118.0</v>
      </c>
      <c r="I104" s="11">
        <v>37.0</v>
      </c>
      <c r="J104" s="11">
        <v>12830.0</v>
      </c>
      <c r="K104" s="11">
        <v>12264.0</v>
      </c>
      <c r="L104" s="11">
        <v>221.0</v>
      </c>
      <c r="M104" s="12" t="s">
        <v>38</v>
      </c>
      <c r="N104" s="12" t="s">
        <v>26</v>
      </c>
      <c r="O104" s="12" t="s">
        <v>26</v>
      </c>
      <c r="P104" s="13">
        <v>0.21208106001558846</v>
      </c>
      <c r="Q104" s="14">
        <f t="shared" si="1"/>
        <v>45688</v>
      </c>
      <c r="R104" s="13">
        <f t="shared" si="2"/>
        <v>2721</v>
      </c>
      <c r="S104" s="15" t="str">
        <f t="shared" si="3"/>
        <v>During Campaign</v>
      </c>
      <c r="T104" s="16">
        <f t="shared" si="4"/>
        <v>58</v>
      </c>
      <c r="U104" s="15">
        <f t="shared" si="5"/>
        <v>5</v>
      </c>
    </row>
    <row r="105" ht="14.25" customHeight="1">
      <c r="A105" s="9" t="s">
        <v>152</v>
      </c>
      <c r="B105" s="9" t="s">
        <v>126</v>
      </c>
      <c r="C105" s="10">
        <v>45582.0</v>
      </c>
      <c r="D105" s="10" t="str">
        <f>IF(
  AND(C105 &gt;= 'Campaign Metadata'!J$2, C105 &lt;= 'Campaign Metadata'!H$2),
  'Campaign Metadata'!A$2,
IF(
  AND(C105 &gt;= 'Campaign Metadata'!J$3, C105 &lt;= 'Campaign Metadata'!H$3),
  'Campaign Metadata'!A$3,
IF(
  AND(C105 &gt;= 'Campaign Metadata'!J$4, C105 &lt;= 'Campaign Metadata'!H$4),
  'Campaign Metadata'!A$4,
IF(
  AND(C105 &gt;= 'Campaign Metadata'!J$5, C105 &lt;= 'Campaign Metadata'!H$5),
  'Campaign Metadata'!A$5,
"Outside Campaign"
))))
</f>
        <v>FestiveRadiance</v>
      </c>
      <c r="E105" s="9" t="s">
        <v>23</v>
      </c>
      <c r="F105" s="9" t="s">
        <v>131</v>
      </c>
      <c r="G105" s="11">
        <v>3575.0</v>
      </c>
      <c r="H105" s="11">
        <v>749.0</v>
      </c>
      <c r="I105" s="11">
        <v>111.0</v>
      </c>
      <c r="J105" s="11">
        <v>21450.0</v>
      </c>
      <c r="K105" s="11">
        <v>20785.0</v>
      </c>
      <c r="L105" s="11">
        <v>195.0</v>
      </c>
      <c r="M105" s="12" t="s">
        <v>33</v>
      </c>
      <c r="N105" s="12" t="s">
        <v>26</v>
      </c>
      <c r="O105" s="12" t="s">
        <v>26</v>
      </c>
      <c r="P105" s="13">
        <v>0.20675990675990677</v>
      </c>
      <c r="Q105" s="14">
        <f t="shared" si="1"/>
        <v>45582</v>
      </c>
      <c r="R105" s="13">
        <f t="shared" si="2"/>
        <v>4435</v>
      </c>
      <c r="S105" s="15" t="str">
        <f t="shared" si="3"/>
        <v>During Campaign</v>
      </c>
      <c r="T105" s="16">
        <f t="shared" si="4"/>
        <v>8521</v>
      </c>
      <c r="U105" s="15">
        <f t="shared" si="5"/>
        <v>42</v>
      </c>
    </row>
    <row r="106" ht="14.25" customHeight="1">
      <c r="A106" s="9" t="s">
        <v>153</v>
      </c>
      <c r="B106" s="9" t="s">
        <v>126</v>
      </c>
      <c r="C106" s="10">
        <v>45484.0</v>
      </c>
      <c r="D106" s="10" t="str">
        <f>IF(
  AND(C106 &gt;= 'Campaign Metadata'!J$2, C106 &lt;= 'Campaign Metadata'!H$2),
  'Campaign Metadata'!A$2,
IF(
  AND(C106 &gt;= 'Campaign Metadata'!J$3, C106 &lt;= 'Campaign Metadata'!H$3),
  'Campaign Metadata'!A$3,
IF(
  AND(C106 &gt;= 'Campaign Metadata'!J$4, C106 &lt;= 'Campaign Metadata'!H$4),
  'Campaign Metadata'!A$4,
IF(
  AND(C106 &gt;= 'Campaign Metadata'!J$5, C106 &lt;= 'Campaign Metadata'!H$5),
  'Campaign Metadata'!A$5,
"Outside Campaign"
))))
</f>
        <v>SummerSplash</v>
      </c>
      <c r="E106" s="9" t="s">
        <v>35</v>
      </c>
      <c r="F106" s="9" t="s">
        <v>143</v>
      </c>
      <c r="G106" s="11">
        <v>3134.0</v>
      </c>
      <c r="H106" s="11">
        <v>888.0</v>
      </c>
      <c r="I106" s="11">
        <v>444.0</v>
      </c>
      <c r="J106" s="11">
        <v>21938.0</v>
      </c>
      <c r="K106" s="11">
        <v>21337.0</v>
      </c>
      <c r="L106" s="11">
        <v>130.0</v>
      </c>
      <c r="M106" s="12" t="s">
        <v>33</v>
      </c>
      <c r="N106" s="12" t="s">
        <v>26</v>
      </c>
      <c r="O106" s="12" t="s">
        <v>26</v>
      </c>
      <c r="P106" s="13">
        <v>0.20357370772176134</v>
      </c>
      <c r="Q106" s="14">
        <f t="shared" si="1"/>
        <v>45484</v>
      </c>
      <c r="R106" s="13">
        <f t="shared" si="2"/>
        <v>4466</v>
      </c>
      <c r="S106" s="15" t="str">
        <f t="shared" si="3"/>
        <v>During Campaign</v>
      </c>
      <c r="T106" s="16">
        <f t="shared" si="4"/>
        <v>552</v>
      </c>
      <c r="U106" s="15">
        <f t="shared" si="5"/>
        <v>28</v>
      </c>
    </row>
    <row r="107" ht="14.25" customHeight="1">
      <c r="A107" s="9" t="s">
        <v>154</v>
      </c>
      <c r="B107" s="9" t="s">
        <v>126</v>
      </c>
      <c r="C107" s="10">
        <v>45509.0</v>
      </c>
      <c r="D107" s="10" t="str">
        <f>IF(
  AND(C107 &gt;= 'Campaign Metadata'!J$2, C107 &lt;= 'Campaign Metadata'!H$2),
  'Campaign Metadata'!A$2,
IF(
  AND(C107 &gt;= 'Campaign Metadata'!J$3, C107 &lt;= 'Campaign Metadata'!H$3),
  'Campaign Metadata'!A$3,
IF(
  AND(C107 &gt;= 'Campaign Metadata'!J$4, C107 &lt;= 'Campaign Metadata'!H$4),
  'Campaign Metadata'!A$4,
IF(
  AND(C107 &gt;= 'Campaign Metadata'!J$5, C107 &lt;= 'Campaign Metadata'!H$5),
  'Campaign Metadata'!A$5,
"Outside Campaign"
))))
</f>
        <v>SummerSplash</v>
      </c>
      <c r="E107" s="9" t="s">
        <v>31</v>
      </c>
      <c r="F107" s="9" t="s">
        <v>127</v>
      </c>
      <c r="G107" s="11">
        <v>3601.0</v>
      </c>
      <c r="H107" s="11">
        <v>695.0</v>
      </c>
      <c r="I107" s="11">
        <v>75.0</v>
      </c>
      <c r="J107" s="11">
        <v>21606.0</v>
      </c>
      <c r="K107" s="11">
        <v>21454.0</v>
      </c>
      <c r="L107" s="11">
        <v>172.0</v>
      </c>
      <c r="M107" s="12" t="s">
        <v>33</v>
      </c>
      <c r="N107" s="12" t="s">
        <v>26</v>
      </c>
      <c r="O107" s="12" t="s">
        <v>26</v>
      </c>
      <c r="P107" s="13">
        <v>0.2023049153013052</v>
      </c>
      <c r="Q107" s="14">
        <f t="shared" si="1"/>
        <v>45509</v>
      </c>
      <c r="R107" s="13">
        <f t="shared" si="2"/>
        <v>4371</v>
      </c>
      <c r="S107" s="15" t="str">
        <f t="shared" si="3"/>
        <v>During Campaign</v>
      </c>
      <c r="T107" s="16">
        <f t="shared" si="4"/>
        <v>117</v>
      </c>
      <c r="U107" s="15">
        <f t="shared" si="5"/>
        <v>32</v>
      </c>
    </row>
    <row r="108" ht="14.25" customHeight="1">
      <c r="A108" s="9" t="s">
        <v>155</v>
      </c>
      <c r="B108" s="9" t="s">
        <v>126</v>
      </c>
      <c r="C108" s="10">
        <v>45762.0</v>
      </c>
      <c r="D108" s="10" t="str">
        <f>IF(
  AND(C108 &gt;= 'Campaign Metadata'!J$2, C108 &lt;= 'Campaign Metadata'!H$2),
  'Campaign Metadata'!A$2,
IF(
  AND(C108 &gt;= 'Campaign Metadata'!J$3, C108 &lt;= 'Campaign Metadata'!H$3),
  'Campaign Metadata'!A$3,
IF(
  AND(C108 &gt;= 'Campaign Metadata'!J$4, C108 &lt;= 'Campaign Metadata'!H$4),
  'Campaign Metadata'!A$4,
IF(
  AND(C108 &gt;= 'Campaign Metadata'!J$5, C108 &lt;= 'Campaign Metadata'!H$5),
  'Campaign Metadata'!A$5,
"Outside Campaign"
))))
</f>
        <v>Outside Campaign</v>
      </c>
      <c r="E108" s="9" t="s">
        <v>23</v>
      </c>
      <c r="F108" s="9" t="s">
        <v>131</v>
      </c>
      <c r="G108" s="11">
        <v>4133.0</v>
      </c>
      <c r="H108" s="11">
        <v>466.0</v>
      </c>
      <c r="I108" s="11">
        <v>327.0</v>
      </c>
      <c r="J108" s="11">
        <v>24798.0</v>
      </c>
      <c r="K108" s="11">
        <v>24620.0</v>
      </c>
      <c r="L108" s="11">
        <v>176.0</v>
      </c>
      <c r="M108" s="12" t="s">
        <v>33</v>
      </c>
      <c r="N108" s="12" t="s">
        <v>26</v>
      </c>
      <c r="O108" s="12" t="s">
        <v>26</v>
      </c>
      <c r="P108" s="13">
        <v>0.19864505202032423</v>
      </c>
      <c r="Q108" s="14">
        <f t="shared" si="1"/>
        <v>45762</v>
      </c>
      <c r="R108" s="13">
        <f t="shared" si="2"/>
        <v>4926</v>
      </c>
      <c r="S108" s="15" t="str">
        <f t="shared" si="3"/>
        <v>Before Campaign</v>
      </c>
      <c r="T108" s="16">
        <f t="shared" si="4"/>
        <v>3166</v>
      </c>
      <c r="U108" s="15">
        <f t="shared" si="5"/>
        <v>16</v>
      </c>
    </row>
    <row r="109" ht="14.25" customHeight="1">
      <c r="A109" s="9" t="s">
        <v>156</v>
      </c>
      <c r="B109" s="9" t="s">
        <v>126</v>
      </c>
      <c r="C109" s="10">
        <v>45634.0</v>
      </c>
      <c r="D109" s="10" t="str">
        <f>IF(
  AND(C109 &gt;= 'Campaign Metadata'!J$2, C109 &lt;= 'Campaign Metadata'!H$2),
  'Campaign Metadata'!A$2,
IF(
  AND(C109 &gt;= 'Campaign Metadata'!J$3, C109 &lt;= 'Campaign Metadata'!H$3),
  'Campaign Metadata'!A$3,
IF(
  AND(C109 &gt;= 'Campaign Metadata'!J$4, C109 &lt;= 'Campaign Metadata'!H$4),
  'Campaign Metadata'!A$4,
IF(
  AND(C109 &gt;= 'Campaign Metadata'!J$5, C109 &lt;= 'Campaign Metadata'!H$5),
  'Campaign Metadata'!A$5,
"Outside Campaign"
))))
</f>
        <v>FestiveRadiance</v>
      </c>
      <c r="E109" s="9" t="s">
        <v>31</v>
      </c>
      <c r="F109" s="9" t="s">
        <v>127</v>
      </c>
      <c r="G109" s="11">
        <v>2610.0</v>
      </c>
      <c r="H109" s="11">
        <v>126.0</v>
      </c>
      <c r="I109" s="11">
        <v>288.0</v>
      </c>
      <c r="J109" s="11">
        <v>15660.0</v>
      </c>
      <c r="K109" s="11">
        <v>15145.0</v>
      </c>
      <c r="L109" s="11">
        <v>73.0</v>
      </c>
      <c r="M109" s="12" t="s">
        <v>33</v>
      </c>
      <c r="N109" s="12" t="s">
        <v>26</v>
      </c>
      <c r="O109" s="12" t="s">
        <v>26</v>
      </c>
      <c r="P109" s="13">
        <v>0.19310344827586207</v>
      </c>
      <c r="Q109" s="14">
        <f t="shared" si="1"/>
        <v>45634</v>
      </c>
      <c r="R109" s="13">
        <f t="shared" si="2"/>
        <v>3024</v>
      </c>
      <c r="S109" s="15" t="str">
        <f t="shared" si="3"/>
        <v>During Campaign</v>
      </c>
      <c r="T109" s="16">
        <f t="shared" si="4"/>
        <v>-9475</v>
      </c>
      <c r="U109" s="15">
        <f t="shared" si="5"/>
        <v>49</v>
      </c>
    </row>
    <row r="110" ht="14.25" customHeight="1">
      <c r="A110" s="9" t="s">
        <v>157</v>
      </c>
      <c r="B110" s="9" t="s">
        <v>126</v>
      </c>
      <c r="C110" s="10">
        <v>45766.0</v>
      </c>
      <c r="D110" s="10" t="str">
        <f>IF(
  AND(C110 &gt;= 'Campaign Metadata'!J$2, C110 &lt;= 'Campaign Metadata'!H$2),
  'Campaign Metadata'!A$2,
IF(
  AND(C110 &gt;= 'Campaign Metadata'!J$3, C110 &lt;= 'Campaign Metadata'!H$3),
  'Campaign Metadata'!A$3,
IF(
  AND(C110 &gt;= 'Campaign Metadata'!J$4, C110 &lt;= 'Campaign Metadata'!H$4),
  'Campaign Metadata'!A$4,
IF(
  AND(C110 &gt;= 'Campaign Metadata'!J$5, C110 &lt;= 'Campaign Metadata'!H$5),
  'Campaign Metadata'!A$5,
"Outside Campaign"
))))
</f>
        <v>Outside Campaign</v>
      </c>
      <c r="E110" s="9" t="s">
        <v>28</v>
      </c>
      <c r="F110" s="9" t="s">
        <v>134</v>
      </c>
      <c r="G110" s="11">
        <v>4177.0</v>
      </c>
      <c r="H110" s="11">
        <v>569.0</v>
      </c>
      <c r="I110" s="11">
        <v>55.0</v>
      </c>
      <c r="J110" s="11">
        <v>25062.0</v>
      </c>
      <c r="K110" s="11">
        <v>24847.0</v>
      </c>
      <c r="L110" s="11">
        <v>230.0</v>
      </c>
      <c r="M110" s="12" t="s">
        <v>38</v>
      </c>
      <c r="N110" s="12" t="s">
        <v>26</v>
      </c>
      <c r="O110" s="12" t="s">
        <v>26</v>
      </c>
      <c r="P110" s="13">
        <v>0.19156491900087783</v>
      </c>
      <c r="Q110" s="14">
        <f t="shared" si="1"/>
        <v>45766</v>
      </c>
      <c r="R110" s="13">
        <f t="shared" si="2"/>
        <v>4801</v>
      </c>
      <c r="S110" s="15" t="str">
        <f t="shared" si="3"/>
        <v>Before Campaign</v>
      </c>
      <c r="T110" s="16">
        <f t="shared" si="4"/>
        <v>9702</v>
      </c>
      <c r="U110" s="15">
        <f t="shared" si="5"/>
        <v>16</v>
      </c>
    </row>
    <row r="111" ht="14.25" customHeight="1">
      <c r="A111" s="9" t="s">
        <v>158</v>
      </c>
      <c r="B111" s="9" t="s">
        <v>126</v>
      </c>
      <c r="C111" s="10">
        <v>45724.0</v>
      </c>
      <c r="D111" s="10" t="str">
        <f>IF(
  AND(C111 &gt;= 'Campaign Metadata'!J$2, C111 &lt;= 'Campaign Metadata'!H$2),
  'Campaign Metadata'!A$2,
IF(
  AND(C111 &gt;= 'Campaign Metadata'!J$3, C111 &lt;= 'Campaign Metadata'!H$3),
  'Campaign Metadata'!A$3,
IF(
  AND(C111 &gt;= 'Campaign Metadata'!J$4, C111 &lt;= 'Campaign Metadata'!H$4),
  'Campaign Metadata'!A$4,
IF(
  AND(C111 &gt;= 'Campaign Metadata'!J$5, C111 &lt;= 'Campaign Metadata'!H$5),
  'Campaign Metadata'!A$5,
"Outside Campaign"
))))
</f>
        <v>Outside Campaign</v>
      </c>
      <c r="E111" s="9" t="s">
        <v>50</v>
      </c>
      <c r="F111" s="9" t="s">
        <v>129</v>
      </c>
      <c r="G111" s="11">
        <v>456.0</v>
      </c>
      <c r="H111" s="11">
        <v>629.0</v>
      </c>
      <c r="I111" s="11">
        <v>428.0</v>
      </c>
      <c r="J111" s="11">
        <v>8208.0</v>
      </c>
      <c r="K111" s="11">
        <v>7377.0</v>
      </c>
      <c r="L111" s="11">
        <v>205.0</v>
      </c>
      <c r="M111" s="12" t="s">
        <v>38</v>
      </c>
      <c r="N111" s="12" t="s">
        <v>26</v>
      </c>
      <c r="O111" s="12" t="s">
        <v>26</v>
      </c>
      <c r="P111" s="13">
        <v>0.18433235867446393</v>
      </c>
      <c r="Q111" s="14">
        <f t="shared" si="1"/>
        <v>45724</v>
      </c>
      <c r="R111" s="13">
        <f t="shared" si="2"/>
        <v>1513</v>
      </c>
      <c r="S111" s="15" t="str">
        <f t="shared" si="3"/>
        <v>Before Campaign</v>
      </c>
      <c r="T111" s="16">
        <f t="shared" si="4"/>
        <v>-17470</v>
      </c>
      <c r="U111" s="15">
        <f t="shared" si="5"/>
        <v>10</v>
      </c>
    </row>
    <row r="112" ht="14.25" customHeight="1">
      <c r="A112" s="9" t="s">
        <v>159</v>
      </c>
      <c r="B112" s="9" t="s">
        <v>126</v>
      </c>
      <c r="C112" s="10">
        <v>45720.0</v>
      </c>
      <c r="D112" s="10" t="str">
        <f>IF(
  AND(C112 &gt;= 'Campaign Metadata'!J$2, C112 &lt;= 'Campaign Metadata'!H$2),
  'Campaign Metadata'!A$2,
IF(
  AND(C112 &gt;= 'Campaign Metadata'!J$3, C112 &lt;= 'Campaign Metadata'!H$3),
  'Campaign Metadata'!A$3,
IF(
  AND(C112 &gt;= 'Campaign Metadata'!J$4, C112 &lt;= 'Campaign Metadata'!H$4),
  'Campaign Metadata'!A$4,
IF(
  AND(C112 &gt;= 'Campaign Metadata'!J$5, C112 &lt;= 'Campaign Metadata'!H$5),
  'Campaign Metadata'!A$5,
"Outside Campaign"
))))
</f>
        <v>Outside Campaign</v>
      </c>
      <c r="E112" s="9" t="s">
        <v>23</v>
      </c>
      <c r="F112" s="9" t="s">
        <v>131</v>
      </c>
      <c r="G112" s="11">
        <v>432.0</v>
      </c>
      <c r="H112" s="11">
        <v>624.0</v>
      </c>
      <c r="I112" s="11">
        <v>123.0</v>
      </c>
      <c r="J112" s="11">
        <v>6912.0</v>
      </c>
      <c r="K112" s="11">
        <v>6259.0</v>
      </c>
      <c r="L112" s="11">
        <v>79.0</v>
      </c>
      <c r="M112" s="12" t="s">
        <v>38</v>
      </c>
      <c r="N112" s="12" t="s">
        <v>26</v>
      </c>
      <c r="O112" s="12" t="s">
        <v>26</v>
      </c>
      <c r="P112" s="13">
        <v>0.17057291666666666</v>
      </c>
      <c r="Q112" s="14">
        <f t="shared" si="1"/>
        <v>45720</v>
      </c>
      <c r="R112" s="13">
        <f t="shared" si="2"/>
        <v>1179</v>
      </c>
      <c r="S112" s="15" t="str">
        <f t="shared" si="3"/>
        <v>Before Campaign</v>
      </c>
      <c r="T112" s="16">
        <f t="shared" si="4"/>
        <v>-1118</v>
      </c>
      <c r="U112" s="15">
        <f t="shared" si="5"/>
        <v>10</v>
      </c>
    </row>
    <row r="113" ht="14.25" customHeight="1">
      <c r="A113" s="9" t="s">
        <v>160</v>
      </c>
      <c r="B113" s="9" t="s">
        <v>126</v>
      </c>
      <c r="C113" s="10">
        <v>45603.0</v>
      </c>
      <c r="D113" s="10" t="str">
        <f>IF(
  AND(C113 &gt;= 'Campaign Metadata'!J$2, C113 &lt;= 'Campaign Metadata'!H$2),
  'Campaign Metadata'!A$2,
IF(
  AND(C113 &gt;= 'Campaign Metadata'!J$3, C113 &lt;= 'Campaign Metadata'!H$3),
  'Campaign Metadata'!A$3,
IF(
  AND(C113 &gt;= 'Campaign Metadata'!J$4, C113 &lt;= 'Campaign Metadata'!H$4),
  'Campaign Metadata'!A$4,
IF(
  AND(C113 &gt;= 'Campaign Metadata'!J$5, C113 &lt;= 'Campaign Metadata'!H$5),
  'Campaign Metadata'!A$5,
"Outside Campaign"
))))
</f>
        <v>FestiveRadiance</v>
      </c>
      <c r="E113" s="9" t="s">
        <v>28</v>
      </c>
      <c r="F113" s="9" t="s">
        <v>134</v>
      </c>
      <c r="G113" s="11">
        <v>2647.0</v>
      </c>
      <c r="H113" s="11">
        <v>304.0</v>
      </c>
      <c r="I113" s="11">
        <v>170.0</v>
      </c>
      <c r="J113" s="11">
        <v>18529.0</v>
      </c>
      <c r="K113" s="11">
        <v>17841.0</v>
      </c>
      <c r="L113" s="11">
        <v>46.0</v>
      </c>
      <c r="M113" s="12" t="s">
        <v>38</v>
      </c>
      <c r="N113" s="12" t="s">
        <v>26</v>
      </c>
      <c r="O113" s="12" t="s">
        <v>26</v>
      </c>
      <c r="P113" s="13">
        <v>0.16843866371633656</v>
      </c>
      <c r="Q113" s="14">
        <f t="shared" si="1"/>
        <v>45603</v>
      </c>
      <c r="R113" s="13">
        <f t="shared" si="2"/>
        <v>3121</v>
      </c>
      <c r="S113" s="15" t="str">
        <f t="shared" si="3"/>
        <v>During Campaign</v>
      </c>
      <c r="T113" s="16">
        <f t="shared" si="4"/>
        <v>11582</v>
      </c>
      <c r="U113" s="15">
        <f t="shared" si="5"/>
        <v>45</v>
      </c>
    </row>
    <row r="114" ht="14.25" customHeight="1">
      <c r="A114" s="9" t="s">
        <v>161</v>
      </c>
      <c r="B114" s="9" t="s">
        <v>126</v>
      </c>
      <c r="C114" s="10">
        <v>45685.0</v>
      </c>
      <c r="D114" s="10" t="str">
        <f>IF(
  AND(C114 &gt;= 'Campaign Metadata'!J$2, C114 &lt;= 'Campaign Metadata'!H$2),
  'Campaign Metadata'!A$2,
IF(
  AND(C114 &gt;= 'Campaign Metadata'!J$3, C114 &lt;= 'Campaign Metadata'!H$3),
  'Campaign Metadata'!A$3,
IF(
  AND(C114 &gt;= 'Campaign Metadata'!J$4, C114 &lt;= 'Campaign Metadata'!H$4),
  'Campaign Metadata'!A$4,
IF(
  AND(C114 &gt;= 'Campaign Metadata'!J$5, C114 &lt;= 'Campaign Metadata'!H$5),
  'Campaign Metadata'!A$5,
"Outside Campaign"
))))
</f>
        <v>NewYearRefresh</v>
      </c>
      <c r="E114" s="9" t="s">
        <v>23</v>
      </c>
      <c r="F114" s="9" t="s">
        <v>131</v>
      </c>
      <c r="G114" s="11">
        <v>904.0</v>
      </c>
      <c r="H114" s="11">
        <v>973.0</v>
      </c>
      <c r="I114" s="11">
        <v>63.0</v>
      </c>
      <c r="J114" s="11">
        <v>11752.0</v>
      </c>
      <c r="K114" s="11">
        <v>11580.0</v>
      </c>
      <c r="L114" s="11">
        <v>84.0</v>
      </c>
      <c r="M114" s="12" t="s">
        <v>33</v>
      </c>
      <c r="N114" s="12" t="s">
        <v>25</v>
      </c>
      <c r="O114" s="12" t="s">
        <v>67</v>
      </c>
      <c r="P114" s="13">
        <v>0.1650782845473111</v>
      </c>
      <c r="Q114" s="14">
        <f t="shared" si="1"/>
        <v>45685</v>
      </c>
      <c r="R114" s="13">
        <f t="shared" si="2"/>
        <v>1940</v>
      </c>
      <c r="S114" s="15" t="str">
        <f t="shared" si="3"/>
        <v>During Campaign</v>
      </c>
      <c r="T114" s="16">
        <f t="shared" si="4"/>
        <v>-6261</v>
      </c>
      <c r="U114" s="15">
        <f t="shared" si="5"/>
        <v>5</v>
      </c>
    </row>
    <row r="115" ht="14.25" customHeight="1">
      <c r="A115" s="9" t="s">
        <v>162</v>
      </c>
      <c r="B115" s="9" t="s">
        <v>126</v>
      </c>
      <c r="C115" s="10">
        <v>45586.0</v>
      </c>
      <c r="D115" s="10" t="str">
        <f>IF(
  AND(C115 &gt;= 'Campaign Metadata'!J$2, C115 &lt;= 'Campaign Metadata'!H$2),
  'Campaign Metadata'!A$2,
IF(
  AND(C115 &gt;= 'Campaign Metadata'!J$3, C115 &lt;= 'Campaign Metadata'!H$3),
  'Campaign Metadata'!A$3,
IF(
  AND(C115 &gt;= 'Campaign Metadata'!J$4, C115 &lt;= 'Campaign Metadata'!H$4),
  'Campaign Metadata'!A$4,
IF(
  AND(C115 &gt;= 'Campaign Metadata'!J$5, C115 &lt;= 'Campaign Metadata'!H$5),
  'Campaign Metadata'!A$5,
"Outside Campaign"
))))
</f>
        <v>FestiveRadiance</v>
      </c>
      <c r="E115" s="9" t="s">
        <v>50</v>
      </c>
      <c r="F115" s="9" t="s">
        <v>129</v>
      </c>
      <c r="G115" s="11">
        <v>3256.0</v>
      </c>
      <c r="H115" s="11">
        <v>459.0</v>
      </c>
      <c r="I115" s="11">
        <v>266.0</v>
      </c>
      <c r="J115" s="11">
        <v>26048.0</v>
      </c>
      <c r="K115" s="11">
        <v>25529.0</v>
      </c>
      <c r="L115" s="11">
        <v>143.0</v>
      </c>
      <c r="M115" s="12" t="s">
        <v>25</v>
      </c>
      <c r="N115" s="12" t="s">
        <v>26</v>
      </c>
      <c r="O115" s="12" t="s">
        <v>26</v>
      </c>
      <c r="P115" s="13">
        <v>0.15283323095823095</v>
      </c>
      <c r="Q115" s="14">
        <f t="shared" si="1"/>
        <v>45586</v>
      </c>
      <c r="R115" s="13">
        <f t="shared" si="2"/>
        <v>3981</v>
      </c>
      <c r="S115" s="15" t="str">
        <f t="shared" si="3"/>
        <v>During Campaign</v>
      </c>
      <c r="T115" s="16">
        <f t="shared" si="4"/>
        <v>13949</v>
      </c>
      <c r="U115" s="15">
        <f t="shared" si="5"/>
        <v>43</v>
      </c>
    </row>
    <row r="116" ht="14.25" customHeight="1">
      <c r="A116" s="9" t="s">
        <v>163</v>
      </c>
      <c r="B116" s="9" t="s">
        <v>126</v>
      </c>
      <c r="C116" s="10">
        <v>45516.0</v>
      </c>
      <c r="D116" s="10" t="str">
        <f>IF(
  AND(C116 &gt;= 'Campaign Metadata'!J$2, C116 &lt;= 'Campaign Metadata'!H$2),
  'Campaign Metadata'!A$2,
IF(
  AND(C116 &gt;= 'Campaign Metadata'!J$3, C116 &lt;= 'Campaign Metadata'!H$3),
  'Campaign Metadata'!A$3,
IF(
  AND(C116 &gt;= 'Campaign Metadata'!J$4, C116 &lt;= 'Campaign Metadata'!H$4),
  'Campaign Metadata'!A$4,
IF(
  AND(C116 &gt;= 'Campaign Metadata'!J$5, C116 &lt;= 'Campaign Metadata'!H$5),
  'Campaign Metadata'!A$5,
"Outside Campaign"
))))
</f>
        <v>SummerSplash</v>
      </c>
      <c r="E116" s="9" t="s">
        <v>31</v>
      </c>
      <c r="F116" s="9" t="s">
        <v>127</v>
      </c>
      <c r="G116" s="11">
        <v>2404.0</v>
      </c>
      <c r="H116" s="11">
        <v>363.0</v>
      </c>
      <c r="I116" s="11">
        <v>138.0</v>
      </c>
      <c r="J116" s="11">
        <v>19232.0</v>
      </c>
      <c r="K116" s="11">
        <v>18636.0</v>
      </c>
      <c r="L116" s="11">
        <v>128.0</v>
      </c>
      <c r="M116" s="12" t="s">
        <v>33</v>
      </c>
      <c r="N116" s="12" t="s">
        <v>26</v>
      </c>
      <c r="O116" s="12" t="s">
        <v>26</v>
      </c>
      <c r="P116" s="13">
        <v>0.15105033277870217</v>
      </c>
      <c r="Q116" s="14">
        <f t="shared" si="1"/>
        <v>45516</v>
      </c>
      <c r="R116" s="13">
        <f t="shared" si="2"/>
        <v>2905</v>
      </c>
      <c r="S116" s="15" t="str">
        <f t="shared" si="3"/>
        <v>During Campaign</v>
      </c>
      <c r="T116" s="16">
        <f t="shared" si="4"/>
        <v>-6893</v>
      </c>
      <c r="U116" s="15">
        <f t="shared" si="5"/>
        <v>33</v>
      </c>
    </row>
    <row r="117" ht="14.25" customHeight="1">
      <c r="A117" s="9" t="s">
        <v>164</v>
      </c>
      <c r="B117" s="9" t="s">
        <v>126</v>
      </c>
      <c r="C117" s="10">
        <v>45625.0</v>
      </c>
      <c r="D117" s="10" t="str">
        <f>IF(
  AND(C117 &gt;= 'Campaign Metadata'!J$2, C117 &lt;= 'Campaign Metadata'!H$2),
  'Campaign Metadata'!A$2,
IF(
  AND(C117 &gt;= 'Campaign Metadata'!J$3, C117 &lt;= 'Campaign Metadata'!H$3),
  'Campaign Metadata'!A$3,
IF(
  AND(C117 &gt;= 'Campaign Metadata'!J$4, C117 &lt;= 'Campaign Metadata'!H$4),
  'Campaign Metadata'!A$4,
IF(
  AND(C117 &gt;= 'Campaign Metadata'!J$5, C117 &lt;= 'Campaign Metadata'!H$5),
  'Campaign Metadata'!A$5,
"Outside Campaign"
))))
</f>
        <v>FestiveRadiance</v>
      </c>
      <c r="E117" s="9" t="s">
        <v>23</v>
      </c>
      <c r="F117" s="9" t="s">
        <v>131</v>
      </c>
      <c r="G117" s="11">
        <v>1176.0</v>
      </c>
      <c r="H117" s="11">
        <v>464.0</v>
      </c>
      <c r="I117" s="11">
        <v>394.0</v>
      </c>
      <c r="J117" s="11">
        <v>14112.0</v>
      </c>
      <c r="K117" s="11">
        <v>13588.0</v>
      </c>
      <c r="L117" s="11">
        <v>272.0</v>
      </c>
      <c r="M117" s="12" t="s">
        <v>33</v>
      </c>
      <c r="N117" s="12" t="s">
        <v>26</v>
      </c>
      <c r="O117" s="12" t="s">
        <v>26</v>
      </c>
      <c r="P117" s="13">
        <v>0.1441326530612245</v>
      </c>
      <c r="Q117" s="14">
        <f t="shared" si="1"/>
        <v>45625</v>
      </c>
      <c r="R117" s="13">
        <f t="shared" si="2"/>
        <v>2034</v>
      </c>
      <c r="S117" s="15" t="str">
        <f t="shared" si="3"/>
        <v>During Campaign</v>
      </c>
      <c r="T117" s="16">
        <f t="shared" si="4"/>
        <v>-5048</v>
      </c>
      <c r="U117" s="15">
        <f t="shared" si="5"/>
        <v>48</v>
      </c>
    </row>
    <row r="118" ht="14.25" customHeight="1">
      <c r="A118" s="9" t="s">
        <v>165</v>
      </c>
      <c r="B118" s="9" t="s">
        <v>126</v>
      </c>
      <c r="C118" s="10">
        <v>45743.0</v>
      </c>
      <c r="D118" s="10" t="str">
        <f>IF(
  AND(C118 &gt;= 'Campaign Metadata'!J$2, C118 &lt;= 'Campaign Metadata'!H$2),
  'Campaign Metadata'!A$2,
IF(
  AND(C118 &gt;= 'Campaign Metadata'!J$3, C118 &lt;= 'Campaign Metadata'!H$3),
  'Campaign Metadata'!A$3,
IF(
  AND(C118 &gt;= 'Campaign Metadata'!J$4, C118 &lt;= 'Campaign Metadata'!H$4),
  'Campaign Metadata'!A$4,
IF(
  AND(C118 &gt;= 'Campaign Metadata'!J$5, C118 &lt;= 'Campaign Metadata'!H$5),
  'Campaign Metadata'!A$5,
"Outside Campaign"
))))
</f>
        <v>Outside Campaign</v>
      </c>
      <c r="E118" s="9" t="s">
        <v>35</v>
      </c>
      <c r="F118" s="9" t="s">
        <v>143</v>
      </c>
      <c r="G118" s="11">
        <v>4941.0</v>
      </c>
      <c r="H118" s="11">
        <v>414.0</v>
      </c>
      <c r="I118" s="11">
        <v>266.0</v>
      </c>
      <c r="J118" s="11">
        <v>39528.0</v>
      </c>
      <c r="K118" s="11">
        <v>39154.0</v>
      </c>
      <c r="L118" s="11">
        <v>217.0</v>
      </c>
      <c r="M118" s="12" t="s">
        <v>25</v>
      </c>
      <c r="N118" s="12" t="s">
        <v>26</v>
      </c>
      <c r="O118" s="12" t="s">
        <v>26</v>
      </c>
      <c r="P118" s="13">
        <v>0.14220299534507186</v>
      </c>
      <c r="Q118" s="14">
        <f t="shared" si="1"/>
        <v>45743</v>
      </c>
      <c r="R118" s="13">
        <f t="shared" si="2"/>
        <v>5621</v>
      </c>
      <c r="S118" s="15" t="str">
        <f t="shared" si="3"/>
        <v>Before Campaign</v>
      </c>
      <c r="T118" s="16">
        <f t="shared" si="4"/>
        <v>25566</v>
      </c>
      <c r="U118" s="15">
        <f t="shared" si="5"/>
        <v>13</v>
      </c>
    </row>
    <row r="119" ht="14.25" customHeight="1">
      <c r="A119" s="9" t="s">
        <v>166</v>
      </c>
      <c r="B119" s="9" t="s">
        <v>126</v>
      </c>
      <c r="C119" s="10">
        <v>45519.0</v>
      </c>
      <c r="D119" s="10" t="str">
        <f>IF(
  AND(C119 &gt;= 'Campaign Metadata'!J$2, C119 &lt;= 'Campaign Metadata'!H$2),
  'Campaign Metadata'!A$2,
IF(
  AND(C119 &gt;= 'Campaign Metadata'!J$3, C119 &lt;= 'Campaign Metadata'!H$3),
  'Campaign Metadata'!A$3,
IF(
  AND(C119 &gt;= 'Campaign Metadata'!J$4, C119 &lt;= 'Campaign Metadata'!H$4),
  'Campaign Metadata'!A$4,
IF(
  AND(C119 &gt;= 'Campaign Metadata'!J$5, C119 &lt;= 'Campaign Metadata'!H$5),
  'Campaign Metadata'!A$5,
"Outside Campaign"
))))
</f>
        <v>SummerSplash</v>
      </c>
      <c r="E119" s="9" t="s">
        <v>47</v>
      </c>
      <c r="F119" s="9" t="s">
        <v>137</v>
      </c>
      <c r="G119" s="11">
        <v>914.0</v>
      </c>
      <c r="H119" s="11">
        <v>464.0</v>
      </c>
      <c r="I119" s="11">
        <v>246.0</v>
      </c>
      <c r="J119" s="11">
        <v>11882.0</v>
      </c>
      <c r="K119" s="11">
        <v>11500.0</v>
      </c>
      <c r="L119" s="11">
        <v>282.0</v>
      </c>
      <c r="M119" s="12" t="s">
        <v>38</v>
      </c>
      <c r="N119" s="12" t="s">
        <v>25</v>
      </c>
      <c r="O119" s="12" t="s">
        <v>67</v>
      </c>
      <c r="P119" s="13">
        <v>0.1366773270493183</v>
      </c>
      <c r="Q119" s="14">
        <f t="shared" si="1"/>
        <v>45519</v>
      </c>
      <c r="R119" s="13">
        <f t="shared" si="2"/>
        <v>1624</v>
      </c>
      <c r="S119" s="15" t="str">
        <f t="shared" si="3"/>
        <v>During Campaign</v>
      </c>
      <c r="T119" s="16">
        <f t="shared" si="4"/>
        <v>-27654</v>
      </c>
      <c r="U119" s="15">
        <f t="shared" si="5"/>
        <v>33</v>
      </c>
    </row>
    <row r="120" ht="14.25" customHeight="1">
      <c r="A120" s="9" t="s">
        <v>167</v>
      </c>
      <c r="B120" s="9" t="s">
        <v>126</v>
      </c>
      <c r="C120" s="10">
        <v>45720.0</v>
      </c>
      <c r="D120" s="10" t="str">
        <f>IF(
  AND(C120 &gt;= 'Campaign Metadata'!J$2, C120 &lt;= 'Campaign Metadata'!H$2),
  'Campaign Metadata'!A$2,
IF(
  AND(C120 &gt;= 'Campaign Metadata'!J$3, C120 &lt;= 'Campaign Metadata'!H$3),
  'Campaign Metadata'!A$3,
IF(
  AND(C120 &gt;= 'Campaign Metadata'!J$4, C120 &lt;= 'Campaign Metadata'!H$4),
  'Campaign Metadata'!A$4,
IF(
  AND(C120 &gt;= 'Campaign Metadata'!J$5, C120 &lt;= 'Campaign Metadata'!H$5),
  'Campaign Metadata'!A$5,
"Outside Campaign"
))))
</f>
        <v>Outside Campaign</v>
      </c>
      <c r="E120" s="9" t="s">
        <v>31</v>
      </c>
      <c r="F120" s="9" t="s">
        <v>127</v>
      </c>
      <c r="G120" s="11">
        <v>1947.0</v>
      </c>
      <c r="H120" s="11">
        <v>842.0</v>
      </c>
      <c r="I120" s="11">
        <v>101.0</v>
      </c>
      <c r="J120" s="11">
        <v>21417.0</v>
      </c>
      <c r="K120" s="11">
        <v>20967.0</v>
      </c>
      <c r="L120" s="11">
        <v>186.0</v>
      </c>
      <c r="M120" s="12" t="s">
        <v>38</v>
      </c>
      <c r="N120" s="12" t="s">
        <v>26</v>
      </c>
      <c r="O120" s="12" t="s">
        <v>26</v>
      </c>
      <c r="P120" s="13">
        <v>0.13493953401503478</v>
      </c>
      <c r="Q120" s="14">
        <f t="shared" si="1"/>
        <v>45720</v>
      </c>
      <c r="R120" s="13">
        <f t="shared" si="2"/>
        <v>2890</v>
      </c>
      <c r="S120" s="15" t="str">
        <f t="shared" si="3"/>
        <v>Before Campaign</v>
      </c>
      <c r="T120" s="16">
        <f t="shared" si="4"/>
        <v>9467</v>
      </c>
      <c r="U120" s="15">
        <f t="shared" si="5"/>
        <v>10</v>
      </c>
    </row>
    <row r="121" ht="14.25" customHeight="1">
      <c r="A121" s="9" t="s">
        <v>168</v>
      </c>
      <c r="B121" s="9" t="s">
        <v>126</v>
      </c>
      <c r="C121" s="10">
        <v>45476.0</v>
      </c>
      <c r="D121" s="10" t="str">
        <f>IF(
  AND(C121 &gt;= 'Campaign Metadata'!J$2, C121 &lt;= 'Campaign Metadata'!H$2),
  'Campaign Metadata'!A$2,
IF(
  AND(C121 &gt;= 'Campaign Metadata'!J$3, C121 &lt;= 'Campaign Metadata'!H$3),
  'Campaign Metadata'!A$3,
IF(
  AND(C121 &gt;= 'Campaign Metadata'!J$4, C121 &lt;= 'Campaign Metadata'!H$4),
  'Campaign Metadata'!A$4,
IF(
  AND(C121 &gt;= 'Campaign Metadata'!J$5, C121 &lt;= 'Campaign Metadata'!H$5),
  'Campaign Metadata'!A$5,
"Outside Campaign"
))))
</f>
        <v>SummerSplash</v>
      </c>
      <c r="E121" s="9" t="s">
        <v>47</v>
      </c>
      <c r="F121" s="9" t="s">
        <v>137</v>
      </c>
      <c r="G121" s="11">
        <v>4799.0</v>
      </c>
      <c r="H121" s="11">
        <v>694.0</v>
      </c>
      <c r="I121" s="11">
        <v>289.0</v>
      </c>
      <c r="J121" s="11">
        <v>43191.0</v>
      </c>
      <c r="K121" s="11">
        <v>42228.0</v>
      </c>
      <c r="L121" s="11">
        <v>118.0</v>
      </c>
      <c r="M121" s="12" t="s">
        <v>25</v>
      </c>
      <c r="N121" s="12" t="s">
        <v>26</v>
      </c>
      <c r="O121" s="12" t="s">
        <v>26</v>
      </c>
      <c r="P121" s="13">
        <v>0.13387048227640017</v>
      </c>
      <c r="Q121" s="14">
        <f t="shared" si="1"/>
        <v>45476</v>
      </c>
      <c r="R121" s="13">
        <f t="shared" si="2"/>
        <v>5782</v>
      </c>
      <c r="S121" s="15" t="str">
        <f t="shared" si="3"/>
        <v>During Campaign</v>
      </c>
      <c r="T121" s="16">
        <f t="shared" si="4"/>
        <v>21261</v>
      </c>
      <c r="U121" s="15">
        <f t="shared" si="5"/>
        <v>27</v>
      </c>
    </row>
    <row r="122" ht="14.25" customHeight="1">
      <c r="A122" s="9" t="s">
        <v>169</v>
      </c>
      <c r="B122" s="9" t="s">
        <v>126</v>
      </c>
      <c r="C122" s="10">
        <v>45586.0</v>
      </c>
      <c r="D122" s="10" t="str">
        <f>IF(
  AND(C122 &gt;= 'Campaign Metadata'!J$2, C122 &lt;= 'Campaign Metadata'!H$2),
  'Campaign Metadata'!A$2,
IF(
  AND(C122 &gt;= 'Campaign Metadata'!J$3, C122 &lt;= 'Campaign Metadata'!H$3),
  'Campaign Metadata'!A$3,
IF(
  AND(C122 &gt;= 'Campaign Metadata'!J$4, C122 &lt;= 'Campaign Metadata'!H$4),
  'Campaign Metadata'!A$4,
IF(
  AND(C122 &gt;= 'Campaign Metadata'!J$5, C122 &lt;= 'Campaign Metadata'!H$5),
  'Campaign Metadata'!A$5,
"Outside Campaign"
))))
</f>
        <v>FestiveRadiance</v>
      </c>
      <c r="E122" s="9" t="s">
        <v>50</v>
      </c>
      <c r="F122" s="9" t="s">
        <v>129</v>
      </c>
      <c r="G122" s="11">
        <v>4840.0</v>
      </c>
      <c r="H122" s="11">
        <v>658.0</v>
      </c>
      <c r="I122" s="11">
        <v>211.0</v>
      </c>
      <c r="J122" s="11">
        <v>43560.0</v>
      </c>
      <c r="K122" s="11">
        <v>43225.0</v>
      </c>
      <c r="L122" s="11">
        <v>57.0</v>
      </c>
      <c r="M122" s="12" t="s">
        <v>38</v>
      </c>
      <c r="N122" s="12" t="s">
        <v>26</v>
      </c>
      <c r="O122" s="12" t="s">
        <v>26</v>
      </c>
      <c r="P122" s="13">
        <v>0.13106060606060607</v>
      </c>
      <c r="Q122" s="14">
        <f t="shared" si="1"/>
        <v>45586</v>
      </c>
      <c r="R122" s="13">
        <f t="shared" si="2"/>
        <v>5709</v>
      </c>
      <c r="S122" s="15" t="str">
        <f t="shared" si="3"/>
        <v>During Campaign</v>
      </c>
      <c r="T122" s="16">
        <f t="shared" si="4"/>
        <v>997</v>
      </c>
      <c r="U122" s="15">
        <f t="shared" si="5"/>
        <v>43</v>
      </c>
    </row>
    <row r="123" ht="14.25" customHeight="1">
      <c r="A123" s="9" t="s">
        <v>170</v>
      </c>
      <c r="B123" s="9" t="s">
        <v>126</v>
      </c>
      <c r="C123" s="10">
        <v>45457.0</v>
      </c>
      <c r="D123" s="10" t="str">
        <f>IF(
  AND(C123 &gt;= 'Campaign Metadata'!J$2, C123 &lt;= 'Campaign Metadata'!H$2),
  'Campaign Metadata'!A$2,
IF(
  AND(C123 &gt;= 'Campaign Metadata'!J$3, C123 &lt;= 'Campaign Metadata'!H$3),
  'Campaign Metadata'!A$3,
IF(
  AND(C123 &gt;= 'Campaign Metadata'!J$4, C123 &lt;= 'Campaign Metadata'!H$4),
  'Campaign Metadata'!A$4,
IF(
  AND(C123 &gt;= 'Campaign Metadata'!J$5, C123 &lt;= 'Campaign Metadata'!H$5),
  'Campaign Metadata'!A$5,
"Outside Campaign"
))))
</f>
        <v>SummerSplash</v>
      </c>
      <c r="E123" s="9" t="s">
        <v>47</v>
      </c>
      <c r="F123" s="9" t="s">
        <v>137</v>
      </c>
      <c r="G123" s="11">
        <v>498.0</v>
      </c>
      <c r="H123" s="11">
        <v>38.0</v>
      </c>
      <c r="I123" s="11">
        <v>42.0</v>
      </c>
      <c r="J123" s="11">
        <v>4482.0</v>
      </c>
      <c r="K123" s="11">
        <v>3647.0</v>
      </c>
      <c r="L123" s="11">
        <v>32.0</v>
      </c>
      <c r="M123" s="12" t="s">
        <v>38</v>
      </c>
      <c r="N123" s="12" t="s">
        <v>26</v>
      </c>
      <c r="O123" s="12" t="s">
        <v>26</v>
      </c>
      <c r="P123" s="13">
        <v>0.12896028558679162</v>
      </c>
      <c r="Q123" s="14">
        <f t="shared" si="1"/>
        <v>45457</v>
      </c>
      <c r="R123" s="13">
        <f t="shared" si="2"/>
        <v>578</v>
      </c>
      <c r="S123" s="15" t="str">
        <f t="shared" si="3"/>
        <v>During Campaign</v>
      </c>
      <c r="T123" s="16">
        <f t="shared" si="4"/>
        <v>-39578</v>
      </c>
      <c r="U123" s="15">
        <f t="shared" si="5"/>
        <v>24</v>
      </c>
    </row>
    <row r="124" ht="14.25" customHeight="1">
      <c r="A124" s="9" t="s">
        <v>171</v>
      </c>
      <c r="B124" s="9" t="s">
        <v>126</v>
      </c>
      <c r="C124" s="10">
        <v>45645.0</v>
      </c>
      <c r="D124" s="10" t="str">
        <f>IF(
  AND(C124 &gt;= 'Campaign Metadata'!J$2, C124 &lt;= 'Campaign Metadata'!H$2),
  'Campaign Metadata'!A$2,
IF(
  AND(C124 &gt;= 'Campaign Metadata'!J$3, C124 &lt;= 'Campaign Metadata'!H$3),
  'Campaign Metadata'!A$3,
IF(
  AND(C124 &gt;= 'Campaign Metadata'!J$4, C124 &lt;= 'Campaign Metadata'!H$4),
  'Campaign Metadata'!A$4,
IF(
  AND(C124 &gt;= 'Campaign Metadata'!J$5, C124 &lt;= 'Campaign Metadata'!H$5),
  'Campaign Metadata'!A$5,
"Outside Campaign"
))))
</f>
        <v>FestiveRadiance</v>
      </c>
      <c r="E124" s="9" t="s">
        <v>35</v>
      </c>
      <c r="F124" s="9" t="s">
        <v>143</v>
      </c>
      <c r="G124" s="11">
        <v>1813.0</v>
      </c>
      <c r="H124" s="11">
        <v>623.0</v>
      </c>
      <c r="I124" s="11">
        <v>72.0</v>
      </c>
      <c r="J124" s="11">
        <v>19943.0</v>
      </c>
      <c r="K124" s="11">
        <v>18959.0</v>
      </c>
      <c r="L124" s="11">
        <v>85.0</v>
      </c>
      <c r="M124" s="12" t="s">
        <v>33</v>
      </c>
      <c r="N124" s="12" t="s">
        <v>26</v>
      </c>
      <c r="O124" s="12" t="s">
        <v>26</v>
      </c>
      <c r="P124" s="13">
        <v>0.12575841147269717</v>
      </c>
      <c r="Q124" s="14">
        <f t="shared" si="1"/>
        <v>45645</v>
      </c>
      <c r="R124" s="13">
        <f t="shared" si="2"/>
        <v>2508</v>
      </c>
      <c r="S124" s="15" t="str">
        <f t="shared" si="3"/>
        <v>During Campaign</v>
      </c>
      <c r="T124" s="16">
        <f t="shared" si="4"/>
        <v>15312</v>
      </c>
      <c r="U124" s="15">
        <f t="shared" si="5"/>
        <v>51</v>
      </c>
    </row>
    <row r="125" ht="14.25" customHeight="1">
      <c r="A125" s="9" t="s">
        <v>172</v>
      </c>
      <c r="B125" s="9" t="s">
        <v>126</v>
      </c>
      <c r="C125" s="10">
        <v>45502.0</v>
      </c>
      <c r="D125" s="10" t="str">
        <f>IF(
  AND(C125 &gt;= 'Campaign Metadata'!J$2, C125 &lt;= 'Campaign Metadata'!H$2),
  'Campaign Metadata'!A$2,
IF(
  AND(C125 &gt;= 'Campaign Metadata'!J$3, C125 &lt;= 'Campaign Metadata'!H$3),
  'Campaign Metadata'!A$3,
IF(
  AND(C125 &gt;= 'Campaign Metadata'!J$4, C125 &lt;= 'Campaign Metadata'!H$4),
  'Campaign Metadata'!A$4,
IF(
  AND(C125 &gt;= 'Campaign Metadata'!J$5, C125 &lt;= 'Campaign Metadata'!H$5),
  'Campaign Metadata'!A$5,
"Outside Campaign"
))))
</f>
        <v>SummerSplash</v>
      </c>
      <c r="E125" s="9" t="s">
        <v>50</v>
      </c>
      <c r="F125" s="9" t="s">
        <v>129</v>
      </c>
      <c r="G125" s="11">
        <v>3523.0</v>
      </c>
      <c r="H125" s="11">
        <v>753.0</v>
      </c>
      <c r="I125" s="11">
        <v>482.0</v>
      </c>
      <c r="J125" s="11">
        <v>38753.0</v>
      </c>
      <c r="K125" s="11">
        <v>38579.0</v>
      </c>
      <c r="L125" s="11">
        <v>270.0</v>
      </c>
      <c r="M125" s="12" t="s">
        <v>33</v>
      </c>
      <c r="N125" s="12" t="s">
        <v>26</v>
      </c>
      <c r="O125" s="12" t="s">
        <v>26</v>
      </c>
      <c r="P125" s="13">
        <v>0.12277759141227776</v>
      </c>
      <c r="Q125" s="14">
        <f t="shared" si="1"/>
        <v>45502</v>
      </c>
      <c r="R125" s="13">
        <f t="shared" si="2"/>
        <v>4758</v>
      </c>
      <c r="S125" s="15" t="str">
        <f t="shared" si="3"/>
        <v>During Campaign</v>
      </c>
      <c r="T125" s="16">
        <f t="shared" si="4"/>
        <v>19620</v>
      </c>
      <c r="U125" s="15">
        <f t="shared" si="5"/>
        <v>31</v>
      </c>
    </row>
    <row r="126" ht="14.25" customHeight="1">
      <c r="A126" s="9" t="s">
        <v>173</v>
      </c>
      <c r="B126" s="9" t="s">
        <v>126</v>
      </c>
      <c r="C126" s="10">
        <v>45505.0</v>
      </c>
      <c r="D126" s="10" t="str">
        <f>IF(
  AND(C126 &gt;= 'Campaign Metadata'!J$2, C126 &lt;= 'Campaign Metadata'!H$2),
  'Campaign Metadata'!A$2,
IF(
  AND(C126 &gt;= 'Campaign Metadata'!J$3, C126 &lt;= 'Campaign Metadata'!H$3),
  'Campaign Metadata'!A$3,
IF(
  AND(C126 &gt;= 'Campaign Metadata'!J$4, C126 &lt;= 'Campaign Metadata'!H$4),
  'Campaign Metadata'!A$4,
IF(
  AND(C126 &gt;= 'Campaign Metadata'!J$5, C126 &lt;= 'Campaign Metadata'!H$5),
  'Campaign Metadata'!A$5,
"Outside Campaign"
))))
</f>
        <v>SummerSplash</v>
      </c>
      <c r="E126" s="9" t="s">
        <v>50</v>
      </c>
      <c r="F126" s="9" t="s">
        <v>129</v>
      </c>
      <c r="G126" s="11">
        <v>1674.0</v>
      </c>
      <c r="H126" s="11">
        <v>929.0</v>
      </c>
      <c r="I126" s="11">
        <v>37.0</v>
      </c>
      <c r="J126" s="11">
        <v>21762.0</v>
      </c>
      <c r="K126" s="11">
        <v>20998.0</v>
      </c>
      <c r="L126" s="11">
        <v>255.0</v>
      </c>
      <c r="M126" s="12" t="s">
        <v>25</v>
      </c>
      <c r="N126" s="12" t="s">
        <v>26</v>
      </c>
      <c r="O126" s="12" t="s">
        <v>26</v>
      </c>
      <c r="P126" s="13">
        <v>0.12131237937689551</v>
      </c>
      <c r="Q126" s="14">
        <f t="shared" si="1"/>
        <v>45505</v>
      </c>
      <c r="R126" s="13">
        <f t="shared" si="2"/>
        <v>2640</v>
      </c>
      <c r="S126" s="15" t="str">
        <f t="shared" si="3"/>
        <v>During Campaign</v>
      </c>
      <c r="T126" s="16">
        <f t="shared" si="4"/>
        <v>-17581</v>
      </c>
      <c r="U126" s="15">
        <f t="shared" si="5"/>
        <v>31</v>
      </c>
    </row>
    <row r="127" ht="14.25" customHeight="1">
      <c r="A127" s="9" t="s">
        <v>174</v>
      </c>
      <c r="B127" s="9" t="s">
        <v>126</v>
      </c>
      <c r="C127" s="10">
        <v>45744.0</v>
      </c>
      <c r="D127" s="10" t="str">
        <f>IF(
  AND(C127 &gt;= 'Campaign Metadata'!J$2, C127 &lt;= 'Campaign Metadata'!H$2),
  'Campaign Metadata'!A$2,
IF(
  AND(C127 &gt;= 'Campaign Metadata'!J$3, C127 &lt;= 'Campaign Metadata'!H$3),
  'Campaign Metadata'!A$3,
IF(
  AND(C127 &gt;= 'Campaign Metadata'!J$4, C127 &lt;= 'Campaign Metadata'!H$4),
  'Campaign Metadata'!A$4,
IF(
  AND(C127 &gt;= 'Campaign Metadata'!J$5, C127 &lt;= 'Campaign Metadata'!H$5),
  'Campaign Metadata'!A$5,
"Outside Campaign"
))))
</f>
        <v>Outside Campaign</v>
      </c>
      <c r="E127" s="9" t="s">
        <v>31</v>
      </c>
      <c r="F127" s="9" t="s">
        <v>127</v>
      </c>
      <c r="G127" s="11">
        <v>1881.0</v>
      </c>
      <c r="H127" s="11">
        <v>501.0</v>
      </c>
      <c r="I127" s="11">
        <v>99.0</v>
      </c>
      <c r="J127" s="11">
        <v>20691.0</v>
      </c>
      <c r="K127" s="11">
        <v>19987.0</v>
      </c>
      <c r="L127" s="11">
        <v>289.0</v>
      </c>
      <c r="M127" s="12" t="s">
        <v>33</v>
      </c>
      <c r="N127" s="12" t="s">
        <v>26</v>
      </c>
      <c r="O127" s="12" t="s">
        <v>26</v>
      </c>
      <c r="P127" s="13">
        <v>0.11990720603160794</v>
      </c>
      <c r="Q127" s="14">
        <f t="shared" si="1"/>
        <v>45744</v>
      </c>
      <c r="R127" s="13">
        <f t="shared" si="2"/>
        <v>2481</v>
      </c>
      <c r="S127" s="15" t="str">
        <f t="shared" si="3"/>
        <v>Before Campaign</v>
      </c>
      <c r="T127" s="16">
        <f t="shared" si="4"/>
        <v>-1011</v>
      </c>
      <c r="U127" s="15">
        <f t="shared" si="5"/>
        <v>13</v>
      </c>
    </row>
    <row r="128" ht="14.25" customHeight="1">
      <c r="A128" s="9" t="s">
        <v>175</v>
      </c>
      <c r="B128" s="9" t="s">
        <v>126</v>
      </c>
      <c r="C128" s="10">
        <v>45626.0</v>
      </c>
      <c r="D128" s="10" t="str">
        <f>IF(
  AND(C128 &gt;= 'Campaign Metadata'!J$2, C128 &lt;= 'Campaign Metadata'!H$2),
  'Campaign Metadata'!A$2,
IF(
  AND(C128 &gt;= 'Campaign Metadata'!J$3, C128 &lt;= 'Campaign Metadata'!H$3),
  'Campaign Metadata'!A$3,
IF(
  AND(C128 &gt;= 'Campaign Metadata'!J$4, C128 &lt;= 'Campaign Metadata'!H$4),
  'Campaign Metadata'!A$4,
IF(
  AND(C128 &gt;= 'Campaign Metadata'!J$5, C128 &lt;= 'Campaign Metadata'!H$5),
  'Campaign Metadata'!A$5,
"Outside Campaign"
))))
</f>
        <v>FestiveRadiance</v>
      </c>
      <c r="E128" s="9" t="s">
        <v>23</v>
      </c>
      <c r="F128" s="9" t="s">
        <v>131</v>
      </c>
      <c r="G128" s="11">
        <v>3775.0</v>
      </c>
      <c r="H128" s="11">
        <v>16.0</v>
      </c>
      <c r="I128" s="11">
        <v>239.0</v>
      </c>
      <c r="J128" s="11">
        <v>33975.0</v>
      </c>
      <c r="K128" s="11">
        <v>33310.0</v>
      </c>
      <c r="L128" s="11">
        <v>271.0</v>
      </c>
      <c r="M128" s="12" t="s">
        <v>38</v>
      </c>
      <c r="N128" s="12" t="s">
        <v>26</v>
      </c>
      <c r="O128" s="12" t="s">
        <v>26</v>
      </c>
      <c r="P128" s="13">
        <v>0.11861662987490802</v>
      </c>
      <c r="Q128" s="14">
        <f t="shared" si="1"/>
        <v>45626</v>
      </c>
      <c r="R128" s="13">
        <f t="shared" si="2"/>
        <v>4030</v>
      </c>
      <c r="S128" s="15" t="str">
        <f t="shared" si="3"/>
        <v>During Campaign</v>
      </c>
      <c r="T128" s="16">
        <f t="shared" si="4"/>
        <v>13323</v>
      </c>
      <c r="U128" s="15">
        <f t="shared" si="5"/>
        <v>48</v>
      </c>
    </row>
    <row r="129" ht="14.25" customHeight="1">
      <c r="A129" s="9" t="s">
        <v>176</v>
      </c>
      <c r="B129" s="9" t="s">
        <v>126</v>
      </c>
      <c r="C129" s="10">
        <v>45743.0</v>
      </c>
      <c r="D129" s="10" t="str">
        <f>IF(
  AND(C129 &gt;= 'Campaign Metadata'!J$2, C129 &lt;= 'Campaign Metadata'!H$2),
  'Campaign Metadata'!A$2,
IF(
  AND(C129 &gt;= 'Campaign Metadata'!J$3, C129 &lt;= 'Campaign Metadata'!H$3),
  'Campaign Metadata'!A$3,
IF(
  AND(C129 &gt;= 'Campaign Metadata'!J$4, C129 &lt;= 'Campaign Metadata'!H$4),
  'Campaign Metadata'!A$4,
IF(
  AND(C129 &gt;= 'Campaign Metadata'!J$5, C129 &lt;= 'Campaign Metadata'!H$5),
  'Campaign Metadata'!A$5,
"Outside Campaign"
))))
</f>
        <v>Outside Campaign</v>
      </c>
      <c r="E129" s="9" t="s">
        <v>47</v>
      </c>
      <c r="F129" s="9" t="s">
        <v>137</v>
      </c>
      <c r="G129" s="11">
        <v>1377.0</v>
      </c>
      <c r="H129" s="11">
        <v>796.0</v>
      </c>
      <c r="I129" s="11">
        <v>387.0</v>
      </c>
      <c r="J129" s="11">
        <v>22032.0</v>
      </c>
      <c r="K129" s="11">
        <v>21869.0</v>
      </c>
      <c r="L129" s="11">
        <v>189.0</v>
      </c>
      <c r="M129" s="12" t="s">
        <v>38</v>
      </c>
      <c r="N129" s="12" t="s">
        <v>26</v>
      </c>
      <c r="O129" s="12" t="s">
        <v>26</v>
      </c>
      <c r="P129" s="13">
        <v>0.11619462599854757</v>
      </c>
      <c r="Q129" s="14">
        <f t="shared" si="1"/>
        <v>45743</v>
      </c>
      <c r="R129" s="13">
        <f t="shared" si="2"/>
        <v>2560</v>
      </c>
      <c r="S129" s="15" t="str">
        <f t="shared" si="3"/>
        <v>Before Campaign</v>
      </c>
      <c r="T129" s="16">
        <f t="shared" si="4"/>
        <v>-11441</v>
      </c>
      <c r="U129" s="15">
        <f t="shared" si="5"/>
        <v>13</v>
      </c>
    </row>
    <row r="130" ht="14.25" customHeight="1">
      <c r="A130" s="9" t="s">
        <v>177</v>
      </c>
      <c r="B130" s="9" t="s">
        <v>126</v>
      </c>
      <c r="C130" s="10">
        <v>45690.0</v>
      </c>
      <c r="D130" s="10" t="str">
        <f>IF(
  AND(C130 &gt;= 'Campaign Metadata'!J$2, C130 &lt;= 'Campaign Metadata'!H$2),
  'Campaign Metadata'!A$2,
IF(
  AND(C130 &gt;= 'Campaign Metadata'!J$3, C130 &lt;= 'Campaign Metadata'!H$3),
  'Campaign Metadata'!A$3,
IF(
  AND(C130 &gt;= 'Campaign Metadata'!J$4, C130 &lt;= 'Campaign Metadata'!H$4),
  'Campaign Metadata'!A$4,
IF(
  AND(C130 &gt;= 'Campaign Metadata'!J$5, C130 &lt;= 'Campaign Metadata'!H$5),
  'Campaign Metadata'!A$5,
"Outside Campaign"
))))
</f>
        <v>NewYearRefresh</v>
      </c>
      <c r="E130" s="9" t="s">
        <v>31</v>
      </c>
      <c r="F130" s="9" t="s">
        <v>127</v>
      </c>
      <c r="G130" s="11">
        <v>1792.0</v>
      </c>
      <c r="H130" s="11">
        <v>614.0</v>
      </c>
      <c r="I130" s="11">
        <v>497.0</v>
      </c>
      <c r="J130" s="11">
        <v>25088.0</v>
      </c>
      <c r="K130" s="11">
        <v>24675.0</v>
      </c>
      <c r="L130" s="11">
        <v>65.0</v>
      </c>
      <c r="M130" s="12" t="s">
        <v>38</v>
      </c>
      <c r="N130" s="12" t="s">
        <v>26</v>
      </c>
      <c r="O130" s="12" t="s">
        <v>26</v>
      </c>
      <c r="P130" s="13">
        <v>0.11571269132653061</v>
      </c>
      <c r="Q130" s="14">
        <f t="shared" si="1"/>
        <v>45690</v>
      </c>
      <c r="R130" s="13">
        <f t="shared" si="2"/>
        <v>2903</v>
      </c>
      <c r="S130" s="15" t="str">
        <f t="shared" si="3"/>
        <v>During Campaign</v>
      </c>
      <c r="T130" s="16">
        <f t="shared" si="4"/>
        <v>2806</v>
      </c>
      <c r="U130" s="15">
        <f t="shared" si="5"/>
        <v>5</v>
      </c>
    </row>
    <row r="131" ht="14.25" customHeight="1">
      <c r="A131" s="9" t="s">
        <v>178</v>
      </c>
      <c r="B131" s="9" t="s">
        <v>126</v>
      </c>
      <c r="C131" s="10">
        <v>45515.0</v>
      </c>
      <c r="D131" s="10" t="str">
        <f>IF(
  AND(C131 &gt;= 'Campaign Metadata'!J$2, C131 &lt;= 'Campaign Metadata'!H$2),
  'Campaign Metadata'!A$2,
IF(
  AND(C131 &gt;= 'Campaign Metadata'!J$3, C131 &lt;= 'Campaign Metadata'!H$3),
  'Campaign Metadata'!A$3,
IF(
  AND(C131 &gt;= 'Campaign Metadata'!J$4, C131 &lt;= 'Campaign Metadata'!H$4),
  'Campaign Metadata'!A$4,
IF(
  AND(C131 &gt;= 'Campaign Metadata'!J$5, C131 &lt;= 'Campaign Metadata'!H$5),
  'Campaign Metadata'!A$5,
"Outside Campaign"
))))
</f>
        <v>SummerSplash</v>
      </c>
      <c r="E131" s="9" t="s">
        <v>31</v>
      </c>
      <c r="F131" s="9" t="s">
        <v>127</v>
      </c>
      <c r="G131" s="11">
        <v>1762.0</v>
      </c>
      <c r="H131" s="11">
        <v>405.0</v>
      </c>
      <c r="I131" s="11">
        <v>423.0</v>
      </c>
      <c r="J131" s="11">
        <v>22906.0</v>
      </c>
      <c r="K131" s="11">
        <v>21925.0</v>
      </c>
      <c r="L131" s="11">
        <v>25.0</v>
      </c>
      <c r="M131" s="12" t="s">
        <v>25</v>
      </c>
      <c r="N131" s="12" t="s">
        <v>26</v>
      </c>
      <c r="O131" s="12" t="s">
        <v>26</v>
      </c>
      <c r="P131" s="13">
        <v>0.11307081114118571</v>
      </c>
      <c r="Q131" s="14">
        <f t="shared" si="1"/>
        <v>45515</v>
      </c>
      <c r="R131" s="13">
        <f t="shared" si="2"/>
        <v>2590</v>
      </c>
      <c r="S131" s="15" t="str">
        <f t="shared" si="3"/>
        <v>During Campaign</v>
      </c>
      <c r="T131" s="16">
        <f t="shared" si="4"/>
        <v>-2750</v>
      </c>
      <c r="U131" s="15">
        <f t="shared" si="5"/>
        <v>32</v>
      </c>
    </row>
    <row r="132" ht="14.25" customHeight="1">
      <c r="A132" s="9" t="s">
        <v>179</v>
      </c>
      <c r="B132" s="9" t="s">
        <v>126</v>
      </c>
      <c r="C132" s="10">
        <v>45455.0</v>
      </c>
      <c r="D132" s="10" t="str">
        <f>IF(
  AND(C132 &gt;= 'Campaign Metadata'!J$2, C132 &lt;= 'Campaign Metadata'!H$2),
  'Campaign Metadata'!A$2,
IF(
  AND(C132 &gt;= 'Campaign Metadata'!J$3, C132 &lt;= 'Campaign Metadata'!H$3),
  'Campaign Metadata'!A$3,
IF(
  AND(C132 &gt;= 'Campaign Metadata'!J$4, C132 &lt;= 'Campaign Metadata'!H$4),
  'Campaign Metadata'!A$4,
IF(
  AND(C132 &gt;= 'Campaign Metadata'!J$5, C132 &lt;= 'Campaign Metadata'!H$5),
  'Campaign Metadata'!A$5,
"Outside Campaign"
))))
</f>
        <v>SummerSplash</v>
      </c>
      <c r="E132" s="9" t="s">
        <v>35</v>
      </c>
      <c r="F132" s="9" t="s">
        <v>143</v>
      </c>
      <c r="G132" s="11">
        <v>246.0</v>
      </c>
      <c r="H132" s="11">
        <v>149.0</v>
      </c>
      <c r="I132" s="11">
        <v>130.0</v>
      </c>
      <c r="J132" s="11">
        <v>4674.0</v>
      </c>
      <c r="K132" s="11">
        <v>4390.0</v>
      </c>
      <c r="L132" s="11">
        <v>217.0</v>
      </c>
      <c r="M132" s="12" t="s">
        <v>38</v>
      </c>
      <c r="N132" s="12" t="s">
        <v>26</v>
      </c>
      <c r="O132" s="12" t="s">
        <v>26</v>
      </c>
      <c r="P132" s="13">
        <v>0.1123234916559692</v>
      </c>
      <c r="Q132" s="14">
        <f t="shared" si="1"/>
        <v>45455</v>
      </c>
      <c r="R132" s="13">
        <f t="shared" si="2"/>
        <v>525</v>
      </c>
      <c r="S132" s="15" t="str">
        <f t="shared" si="3"/>
        <v>During Campaign</v>
      </c>
      <c r="T132" s="16">
        <f t="shared" si="4"/>
        <v>-17535</v>
      </c>
      <c r="U132" s="15">
        <f t="shared" si="5"/>
        <v>24</v>
      </c>
    </row>
    <row r="133" ht="14.25" customHeight="1">
      <c r="A133" s="9" t="s">
        <v>180</v>
      </c>
      <c r="B133" s="9" t="s">
        <v>126</v>
      </c>
      <c r="C133" s="10">
        <v>45499.0</v>
      </c>
      <c r="D133" s="10" t="str">
        <f>IF(
  AND(C133 &gt;= 'Campaign Metadata'!J$2, C133 &lt;= 'Campaign Metadata'!H$2),
  'Campaign Metadata'!A$2,
IF(
  AND(C133 &gt;= 'Campaign Metadata'!J$3, C133 &lt;= 'Campaign Metadata'!H$3),
  'Campaign Metadata'!A$3,
IF(
  AND(C133 &gt;= 'Campaign Metadata'!J$4, C133 &lt;= 'Campaign Metadata'!H$4),
  'Campaign Metadata'!A$4,
IF(
  AND(C133 &gt;= 'Campaign Metadata'!J$5, C133 &lt;= 'Campaign Metadata'!H$5),
  'Campaign Metadata'!A$5,
"Outside Campaign"
))))
</f>
        <v>SummerSplash</v>
      </c>
      <c r="E133" s="9" t="s">
        <v>28</v>
      </c>
      <c r="F133" s="9" t="s">
        <v>134</v>
      </c>
      <c r="G133" s="11">
        <v>3559.0</v>
      </c>
      <c r="H133" s="11">
        <v>59.0</v>
      </c>
      <c r="I133" s="11">
        <v>289.0</v>
      </c>
      <c r="J133" s="11">
        <v>35590.0</v>
      </c>
      <c r="K133" s="11">
        <v>35105.0</v>
      </c>
      <c r="L133" s="11">
        <v>122.0</v>
      </c>
      <c r="M133" s="12" t="s">
        <v>33</v>
      </c>
      <c r="N133" s="12" t="s">
        <v>26</v>
      </c>
      <c r="O133" s="12" t="s">
        <v>26</v>
      </c>
      <c r="P133" s="13">
        <v>0.10977802753582468</v>
      </c>
      <c r="Q133" s="14">
        <f t="shared" si="1"/>
        <v>45499</v>
      </c>
      <c r="R133" s="13">
        <f t="shared" si="2"/>
        <v>3907</v>
      </c>
      <c r="S133" s="15" t="str">
        <f t="shared" si="3"/>
        <v>During Campaign</v>
      </c>
      <c r="T133" s="16">
        <f t="shared" si="4"/>
        <v>30715</v>
      </c>
      <c r="U133" s="15">
        <f t="shared" si="5"/>
        <v>30</v>
      </c>
    </row>
    <row r="134" ht="14.25" customHeight="1">
      <c r="A134" s="9" t="s">
        <v>181</v>
      </c>
      <c r="B134" s="9" t="s">
        <v>126</v>
      </c>
      <c r="C134" s="10">
        <v>45568.0</v>
      </c>
      <c r="D134" s="10" t="str">
        <f>IF(
  AND(C134 &gt;= 'Campaign Metadata'!J$2, C134 &lt;= 'Campaign Metadata'!H$2),
  'Campaign Metadata'!A$2,
IF(
  AND(C134 &gt;= 'Campaign Metadata'!J$3, C134 &lt;= 'Campaign Metadata'!H$3),
  'Campaign Metadata'!A$3,
IF(
  AND(C134 &gt;= 'Campaign Metadata'!J$4, C134 &lt;= 'Campaign Metadata'!H$4),
  'Campaign Metadata'!A$4,
IF(
  AND(C134 &gt;= 'Campaign Metadata'!J$5, C134 &lt;= 'Campaign Metadata'!H$5),
  'Campaign Metadata'!A$5,
"Outside Campaign"
))))
</f>
        <v>FestiveRadiance</v>
      </c>
      <c r="E134" s="9" t="s">
        <v>23</v>
      </c>
      <c r="F134" s="9" t="s">
        <v>131</v>
      </c>
      <c r="G134" s="11">
        <v>1488.0</v>
      </c>
      <c r="H134" s="11">
        <v>417.0</v>
      </c>
      <c r="I134" s="11">
        <v>168.0</v>
      </c>
      <c r="J134" s="11">
        <v>19344.0</v>
      </c>
      <c r="K134" s="11">
        <v>18395.0</v>
      </c>
      <c r="L134" s="11">
        <v>30.0</v>
      </c>
      <c r="M134" s="12" t="s">
        <v>38</v>
      </c>
      <c r="N134" s="12" t="s">
        <v>26</v>
      </c>
      <c r="O134" s="12" t="s">
        <v>26</v>
      </c>
      <c r="P134" s="13">
        <v>0.1071650124069479</v>
      </c>
      <c r="Q134" s="14">
        <f t="shared" si="1"/>
        <v>45568</v>
      </c>
      <c r="R134" s="13">
        <f t="shared" si="2"/>
        <v>2073</v>
      </c>
      <c r="S134" s="15" t="str">
        <f t="shared" si="3"/>
        <v>During Campaign</v>
      </c>
      <c r="T134" s="16">
        <f t="shared" si="4"/>
        <v>-16710</v>
      </c>
      <c r="U134" s="15">
        <f t="shared" si="5"/>
        <v>40</v>
      </c>
    </row>
    <row r="135" ht="14.25" customHeight="1">
      <c r="A135" s="9" t="s">
        <v>182</v>
      </c>
      <c r="B135" s="9" t="s">
        <v>126</v>
      </c>
      <c r="C135" s="10">
        <v>45523.0</v>
      </c>
      <c r="D135" s="10" t="str">
        <f>IF(
  AND(C135 &gt;= 'Campaign Metadata'!J$2, C135 &lt;= 'Campaign Metadata'!H$2),
  'Campaign Metadata'!A$2,
IF(
  AND(C135 &gt;= 'Campaign Metadata'!J$3, C135 &lt;= 'Campaign Metadata'!H$3),
  'Campaign Metadata'!A$3,
IF(
  AND(C135 &gt;= 'Campaign Metadata'!J$4, C135 &lt;= 'Campaign Metadata'!H$4),
  'Campaign Metadata'!A$4,
IF(
  AND(C135 &gt;= 'Campaign Metadata'!J$5, C135 &lt;= 'Campaign Metadata'!H$5),
  'Campaign Metadata'!A$5,
"Outside Campaign"
))))
</f>
        <v>SummerSplash</v>
      </c>
      <c r="E135" s="9" t="s">
        <v>50</v>
      </c>
      <c r="F135" s="9" t="s">
        <v>129</v>
      </c>
      <c r="G135" s="11">
        <v>3000.0</v>
      </c>
      <c r="H135" s="11">
        <v>382.0</v>
      </c>
      <c r="I135" s="11">
        <v>325.0</v>
      </c>
      <c r="J135" s="11">
        <v>36000.0</v>
      </c>
      <c r="K135" s="11">
        <v>35819.0</v>
      </c>
      <c r="L135" s="11">
        <v>19.0</v>
      </c>
      <c r="M135" s="12" t="s">
        <v>38</v>
      </c>
      <c r="N135" s="12" t="s">
        <v>26</v>
      </c>
      <c r="O135" s="12" t="s">
        <v>26</v>
      </c>
      <c r="P135" s="13">
        <v>0.10297222222222223</v>
      </c>
      <c r="Q135" s="14">
        <f t="shared" si="1"/>
        <v>45523</v>
      </c>
      <c r="R135" s="13">
        <f t="shared" si="2"/>
        <v>3707</v>
      </c>
      <c r="S135" s="15" t="str">
        <f t="shared" si="3"/>
        <v>During Campaign</v>
      </c>
      <c r="T135" s="16">
        <f t="shared" si="4"/>
        <v>17424</v>
      </c>
      <c r="U135" s="15">
        <f t="shared" si="5"/>
        <v>34</v>
      </c>
    </row>
    <row r="136" ht="14.25" customHeight="1">
      <c r="A136" s="9" t="s">
        <v>183</v>
      </c>
      <c r="B136" s="9" t="s">
        <v>126</v>
      </c>
      <c r="C136" s="10">
        <v>45466.0</v>
      </c>
      <c r="D136" s="10" t="str">
        <f>IF(
  AND(C136 &gt;= 'Campaign Metadata'!J$2, C136 &lt;= 'Campaign Metadata'!H$2),
  'Campaign Metadata'!A$2,
IF(
  AND(C136 &gt;= 'Campaign Metadata'!J$3, C136 &lt;= 'Campaign Metadata'!H$3),
  'Campaign Metadata'!A$3,
IF(
  AND(C136 &gt;= 'Campaign Metadata'!J$4, C136 &lt;= 'Campaign Metadata'!H$4),
  'Campaign Metadata'!A$4,
IF(
  AND(C136 &gt;= 'Campaign Metadata'!J$5, C136 &lt;= 'Campaign Metadata'!H$5),
  'Campaign Metadata'!A$5,
"Outside Campaign"
))))
</f>
        <v>SummerSplash</v>
      </c>
      <c r="E136" s="9" t="s">
        <v>23</v>
      </c>
      <c r="F136" s="9" t="s">
        <v>131</v>
      </c>
      <c r="G136" s="11">
        <v>1071.0</v>
      </c>
      <c r="H136" s="11">
        <v>519.0</v>
      </c>
      <c r="I136" s="11">
        <v>22.0</v>
      </c>
      <c r="J136" s="11">
        <v>16065.0</v>
      </c>
      <c r="K136" s="11">
        <v>15865.0</v>
      </c>
      <c r="L136" s="11">
        <v>103.0</v>
      </c>
      <c r="M136" s="12" t="s">
        <v>25</v>
      </c>
      <c r="N136" s="12" t="s">
        <v>26</v>
      </c>
      <c r="O136" s="12" t="s">
        <v>26</v>
      </c>
      <c r="P136" s="13">
        <v>0.10034235916588857</v>
      </c>
      <c r="Q136" s="14">
        <f t="shared" si="1"/>
        <v>45466</v>
      </c>
      <c r="R136" s="13">
        <f t="shared" si="2"/>
        <v>1612</v>
      </c>
      <c r="S136" s="15" t="str">
        <f t="shared" si="3"/>
        <v>During Campaign</v>
      </c>
      <c r="T136" s="16">
        <f t="shared" si="4"/>
        <v>-19954</v>
      </c>
      <c r="U136" s="15">
        <f t="shared" si="5"/>
        <v>25</v>
      </c>
    </row>
    <row r="137" ht="14.25" customHeight="1">
      <c r="A137" s="9" t="s">
        <v>184</v>
      </c>
      <c r="B137" s="9" t="s">
        <v>126</v>
      </c>
      <c r="C137" s="10">
        <v>45744.0</v>
      </c>
      <c r="D137" s="10" t="str">
        <f>IF(
  AND(C137 &gt;= 'Campaign Metadata'!J$2, C137 &lt;= 'Campaign Metadata'!H$2),
  'Campaign Metadata'!A$2,
IF(
  AND(C137 &gt;= 'Campaign Metadata'!J$3, C137 &lt;= 'Campaign Metadata'!H$3),
  'Campaign Metadata'!A$3,
IF(
  AND(C137 &gt;= 'Campaign Metadata'!J$4, C137 &lt;= 'Campaign Metadata'!H$4),
  'Campaign Metadata'!A$4,
IF(
  AND(C137 &gt;= 'Campaign Metadata'!J$5, C137 &lt;= 'Campaign Metadata'!H$5),
  'Campaign Metadata'!A$5,
"Outside Campaign"
))))
</f>
        <v>Outside Campaign</v>
      </c>
      <c r="E137" s="9" t="s">
        <v>47</v>
      </c>
      <c r="F137" s="9" t="s">
        <v>137</v>
      </c>
      <c r="G137" s="11">
        <v>4158.0</v>
      </c>
      <c r="H137" s="11">
        <v>167.0</v>
      </c>
      <c r="I137" s="11">
        <v>241.0</v>
      </c>
      <c r="J137" s="11">
        <v>45738.0</v>
      </c>
      <c r="K137" s="11">
        <v>45183.0</v>
      </c>
      <c r="L137" s="11">
        <v>142.0</v>
      </c>
      <c r="M137" s="12" t="s">
        <v>38</v>
      </c>
      <c r="N137" s="12" t="s">
        <v>26</v>
      </c>
      <c r="O137" s="12" t="s">
        <v>26</v>
      </c>
      <c r="P137" s="13">
        <v>0.0998294634658271</v>
      </c>
      <c r="Q137" s="14">
        <f t="shared" si="1"/>
        <v>45744</v>
      </c>
      <c r="R137" s="13">
        <f t="shared" si="2"/>
        <v>4566</v>
      </c>
      <c r="S137" s="15" t="str">
        <f t="shared" si="3"/>
        <v>Before Campaign</v>
      </c>
      <c r="T137" s="16">
        <f t="shared" si="4"/>
        <v>29318</v>
      </c>
      <c r="U137" s="15">
        <f t="shared" si="5"/>
        <v>13</v>
      </c>
    </row>
    <row r="138" ht="14.25" customHeight="1">
      <c r="A138" s="9" t="s">
        <v>185</v>
      </c>
      <c r="B138" s="9" t="s">
        <v>126</v>
      </c>
      <c r="C138" s="10">
        <v>45624.0</v>
      </c>
      <c r="D138" s="10" t="str">
        <f>IF(
  AND(C138 &gt;= 'Campaign Metadata'!J$2, C138 &lt;= 'Campaign Metadata'!H$2),
  'Campaign Metadata'!A$2,
IF(
  AND(C138 &gt;= 'Campaign Metadata'!J$3, C138 &lt;= 'Campaign Metadata'!H$3),
  'Campaign Metadata'!A$3,
IF(
  AND(C138 &gt;= 'Campaign Metadata'!J$4, C138 &lt;= 'Campaign Metadata'!H$4),
  'Campaign Metadata'!A$4,
IF(
  AND(C138 &gt;= 'Campaign Metadata'!J$5, C138 &lt;= 'Campaign Metadata'!H$5),
  'Campaign Metadata'!A$5,
"Outside Campaign"
))))
</f>
        <v>FestiveRadiance</v>
      </c>
      <c r="E138" s="9" t="s">
        <v>35</v>
      </c>
      <c r="F138" s="9" t="s">
        <v>143</v>
      </c>
      <c r="G138" s="11">
        <v>4771.0</v>
      </c>
      <c r="H138" s="11">
        <v>818.0</v>
      </c>
      <c r="I138" s="11">
        <v>56.0</v>
      </c>
      <c r="J138" s="11">
        <v>57252.0</v>
      </c>
      <c r="K138" s="11">
        <v>56378.0</v>
      </c>
      <c r="L138" s="11">
        <v>150.0</v>
      </c>
      <c r="M138" s="12" t="s">
        <v>38</v>
      </c>
      <c r="N138" s="12" t="s">
        <v>26</v>
      </c>
      <c r="O138" s="12" t="s">
        <v>26</v>
      </c>
      <c r="P138" s="13">
        <v>0.09859917557465242</v>
      </c>
      <c r="Q138" s="14">
        <f t="shared" si="1"/>
        <v>45624</v>
      </c>
      <c r="R138" s="13">
        <f t="shared" si="2"/>
        <v>5645</v>
      </c>
      <c r="S138" s="15" t="str">
        <f t="shared" si="3"/>
        <v>During Campaign</v>
      </c>
      <c r="T138" s="16">
        <f t="shared" si="4"/>
        <v>11195</v>
      </c>
      <c r="U138" s="15">
        <f t="shared" si="5"/>
        <v>48</v>
      </c>
    </row>
    <row r="139" ht="14.25" customHeight="1">
      <c r="A139" s="9" t="s">
        <v>186</v>
      </c>
      <c r="B139" s="9" t="s">
        <v>126</v>
      </c>
      <c r="C139" s="10">
        <v>45668.0</v>
      </c>
      <c r="D139" s="10" t="str">
        <f>IF(
  AND(C139 &gt;= 'Campaign Metadata'!J$2, C139 &lt;= 'Campaign Metadata'!H$2),
  'Campaign Metadata'!A$2,
IF(
  AND(C139 &gt;= 'Campaign Metadata'!J$3, C139 &lt;= 'Campaign Metadata'!H$3),
  'Campaign Metadata'!A$3,
IF(
  AND(C139 &gt;= 'Campaign Metadata'!J$4, C139 &lt;= 'Campaign Metadata'!H$4),
  'Campaign Metadata'!A$4,
IF(
  AND(C139 &gt;= 'Campaign Metadata'!J$5, C139 &lt;= 'Campaign Metadata'!H$5),
  'Campaign Metadata'!A$5,
"Outside Campaign"
))))
</f>
        <v>NewYearRefresh</v>
      </c>
      <c r="E139" s="9" t="s">
        <v>47</v>
      </c>
      <c r="F139" s="9" t="s">
        <v>137</v>
      </c>
      <c r="G139" s="11">
        <v>4523.0</v>
      </c>
      <c r="H139" s="11">
        <v>61.0</v>
      </c>
      <c r="I139" s="11">
        <v>157.0</v>
      </c>
      <c r="J139" s="11">
        <v>49753.0</v>
      </c>
      <c r="K139" s="11">
        <v>49329.0</v>
      </c>
      <c r="L139" s="11">
        <v>71.0</v>
      </c>
      <c r="M139" s="12" t="s">
        <v>33</v>
      </c>
      <c r="N139" s="12" t="s">
        <v>26</v>
      </c>
      <c r="O139" s="12" t="s">
        <v>26</v>
      </c>
      <c r="P139" s="13">
        <v>0.09529073623701083</v>
      </c>
      <c r="Q139" s="14">
        <f t="shared" si="1"/>
        <v>45668</v>
      </c>
      <c r="R139" s="13">
        <f t="shared" si="2"/>
        <v>4741</v>
      </c>
      <c r="S139" s="15" t="str">
        <f t="shared" si="3"/>
        <v>During Campaign</v>
      </c>
      <c r="T139" s="16">
        <f t="shared" si="4"/>
        <v>-7049</v>
      </c>
      <c r="U139" s="15">
        <f t="shared" si="5"/>
        <v>2</v>
      </c>
    </row>
    <row r="140" ht="14.25" customHeight="1">
      <c r="A140" s="9" t="s">
        <v>187</v>
      </c>
      <c r="B140" s="9" t="s">
        <v>126</v>
      </c>
      <c r="C140" s="10">
        <v>45584.0</v>
      </c>
      <c r="D140" s="10" t="str">
        <f>IF(
  AND(C140 &gt;= 'Campaign Metadata'!J$2, C140 &lt;= 'Campaign Metadata'!H$2),
  'Campaign Metadata'!A$2,
IF(
  AND(C140 &gt;= 'Campaign Metadata'!J$3, C140 &lt;= 'Campaign Metadata'!H$3),
  'Campaign Metadata'!A$3,
IF(
  AND(C140 &gt;= 'Campaign Metadata'!J$4, C140 &lt;= 'Campaign Metadata'!H$4),
  'Campaign Metadata'!A$4,
IF(
  AND(C140 &gt;= 'Campaign Metadata'!J$5, C140 &lt;= 'Campaign Metadata'!H$5),
  'Campaign Metadata'!A$5,
"Outside Campaign"
))))
</f>
        <v>FestiveRadiance</v>
      </c>
      <c r="E140" s="9" t="s">
        <v>31</v>
      </c>
      <c r="F140" s="9" t="s">
        <v>127</v>
      </c>
      <c r="G140" s="11">
        <v>1816.0</v>
      </c>
      <c r="H140" s="11">
        <v>29.0</v>
      </c>
      <c r="I140" s="11">
        <v>41.0</v>
      </c>
      <c r="J140" s="11">
        <v>19976.0</v>
      </c>
      <c r="K140" s="11">
        <v>19262.0</v>
      </c>
      <c r="L140" s="11">
        <v>283.0</v>
      </c>
      <c r="M140" s="12" t="s">
        <v>25</v>
      </c>
      <c r="N140" s="12" t="s">
        <v>26</v>
      </c>
      <c r="O140" s="12" t="s">
        <v>26</v>
      </c>
      <c r="P140" s="13">
        <v>0.09441329595514618</v>
      </c>
      <c r="Q140" s="14">
        <f t="shared" si="1"/>
        <v>45584</v>
      </c>
      <c r="R140" s="13">
        <f t="shared" si="2"/>
        <v>1886</v>
      </c>
      <c r="S140" s="15" t="str">
        <f t="shared" si="3"/>
        <v>During Campaign</v>
      </c>
      <c r="T140" s="16">
        <f t="shared" si="4"/>
        <v>-30067</v>
      </c>
      <c r="U140" s="15">
        <f t="shared" si="5"/>
        <v>42</v>
      </c>
    </row>
    <row r="141" ht="14.25" customHeight="1">
      <c r="A141" s="9" t="s">
        <v>188</v>
      </c>
      <c r="B141" s="9" t="s">
        <v>126</v>
      </c>
      <c r="C141" s="10">
        <v>45465.0</v>
      </c>
      <c r="D141" s="10" t="str">
        <f>IF(
  AND(C141 &gt;= 'Campaign Metadata'!J$2, C141 &lt;= 'Campaign Metadata'!H$2),
  'Campaign Metadata'!A$2,
IF(
  AND(C141 &gt;= 'Campaign Metadata'!J$3, C141 &lt;= 'Campaign Metadata'!H$3),
  'Campaign Metadata'!A$3,
IF(
  AND(C141 &gt;= 'Campaign Metadata'!J$4, C141 &lt;= 'Campaign Metadata'!H$4),
  'Campaign Metadata'!A$4,
IF(
  AND(C141 &gt;= 'Campaign Metadata'!J$5, C141 &lt;= 'Campaign Metadata'!H$5),
  'Campaign Metadata'!A$5,
"Outside Campaign"
))))
</f>
        <v>SummerSplash</v>
      </c>
      <c r="E141" s="9" t="s">
        <v>35</v>
      </c>
      <c r="F141" s="9" t="s">
        <v>143</v>
      </c>
      <c r="G141" s="11">
        <v>2180.0</v>
      </c>
      <c r="H141" s="11">
        <v>263.0</v>
      </c>
      <c r="I141" s="11">
        <v>387.0</v>
      </c>
      <c r="J141" s="11">
        <v>30520.0</v>
      </c>
      <c r="K141" s="11">
        <v>30059.0</v>
      </c>
      <c r="L141" s="11">
        <v>174.0</v>
      </c>
      <c r="M141" s="12" t="s">
        <v>33</v>
      </c>
      <c r="N141" s="12" t="s">
        <v>26</v>
      </c>
      <c r="O141" s="12" t="s">
        <v>26</v>
      </c>
      <c r="P141" s="13">
        <v>0.09272608125819135</v>
      </c>
      <c r="Q141" s="14">
        <f t="shared" si="1"/>
        <v>45465</v>
      </c>
      <c r="R141" s="13">
        <f t="shared" si="2"/>
        <v>2830</v>
      </c>
      <c r="S141" s="15" t="str">
        <f t="shared" si="3"/>
        <v>During Campaign</v>
      </c>
      <c r="T141" s="16">
        <f t="shared" si="4"/>
        <v>10797</v>
      </c>
      <c r="U141" s="15">
        <f t="shared" si="5"/>
        <v>25</v>
      </c>
    </row>
    <row r="142" ht="14.25" customHeight="1">
      <c r="A142" s="9" t="s">
        <v>189</v>
      </c>
      <c r="B142" s="9" t="s">
        <v>126</v>
      </c>
      <c r="C142" s="10">
        <v>45483.0</v>
      </c>
      <c r="D142" s="10" t="str">
        <f>IF(
  AND(C142 &gt;= 'Campaign Metadata'!J$2, C142 &lt;= 'Campaign Metadata'!H$2),
  'Campaign Metadata'!A$2,
IF(
  AND(C142 &gt;= 'Campaign Metadata'!J$3, C142 &lt;= 'Campaign Metadata'!H$3),
  'Campaign Metadata'!A$3,
IF(
  AND(C142 &gt;= 'Campaign Metadata'!J$4, C142 &lt;= 'Campaign Metadata'!H$4),
  'Campaign Metadata'!A$4,
IF(
  AND(C142 &gt;= 'Campaign Metadata'!J$5, C142 &lt;= 'Campaign Metadata'!H$5),
  'Campaign Metadata'!A$5,
"Outside Campaign"
))))
</f>
        <v>SummerSplash</v>
      </c>
      <c r="E142" s="9" t="s">
        <v>47</v>
      </c>
      <c r="F142" s="9" t="s">
        <v>137</v>
      </c>
      <c r="G142" s="11">
        <v>3099.0</v>
      </c>
      <c r="H142" s="11">
        <v>694.0</v>
      </c>
      <c r="I142" s="11">
        <v>171.0</v>
      </c>
      <c r="J142" s="11">
        <v>43386.0</v>
      </c>
      <c r="K142" s="11">
        <v>42921.0</v>
      </c>
      <c r="L142" s="11">
        <v>52.0</v>
      </c>
      <c r="M142" s="12" t="s">
        <v>25</v>
      </c>
      <c r="N142" s="12" t="s">
        <v>26</v>
      </c>
      <c r="O142" s="12" t="s">
        <v>26</v>
      </c>
      <c r="P142" s="13">
        <v>0.09136587839395197</v>
      </c>
      <c r="Q142" s="14">
        <f t="shared" si="1"/>
        <v>45483</v>
      </c>
      <c r="R142" s="13">
        <f t="shared" si="2"/>
        <v>3964</v>
      </c>
      <c r="S142" s="15" t="str">
        <f t="shared" si="3"/>
        <v>During Campaign</v>
      </c>
      <c r="T142" s="16">
        <f t="shared" si="4"/>
        <v>12862</v>
      </c>
      <c r="U142" s="15">
        <f t="shared" si="5"/>
        <v>28</v>
      </c>
    </row>
    <row r="143" ht="14.25" customHeight="1">
      <c r="A143" s="9" t="s">
        <v>190</v>
      </c>
      <c r="B143" s="9" t="s">
        <v>126</v>
      </c>
      <c r="C143" s="10">
        <v>45574.0</v>
      </c>
      <c r="D143" s="10" t="str">
        <f>IF(
  AND(C143 &gt;= 'Campaign Metadata'!J$2, C143 &lt;= 'Campaign Metadata'!H$2),
  'Campaign Metadata'!A$2,
IF(
  AND(C143 &gt;= 'Campaign Metadata'!J$3, C143 &lt;= 'Campaign Metadata'!H$3),
  'Campaign Metadata'!A$3,
IF(
  AND(C143 &gt;= 'Campaign Metadata'!J$4, C143 &lt;= 'Campaign Metadata'!H$4),
  'Campaign Metadata'!A$4,
IF(
  AND(C143 &gt;= 'Campaign Metadata'!J$5, C143 &lt;= 'Campaign Metadata'!H$5),
  'Campaign Metadata'!A$5,
"Outside Campaign"
))))
</f>
        <v>FestiveRadiance</v>
      </c>
      <c r="E143" s="9" t="s">
        <v>47</v>
      </c>
      <c r="F143" s="9" t="s">
        <v>137</v>
      </c>
      <c r="G143" s="11">
        <v>3068.0</v>
      </c>
      <c r="H143" s="11">
        <v>137.0</v>
      </c>
      <c r="I143" s="11">
        <v>329.0</v>
      </c>
      <c r="J143" s="11">
        <v>39884.0</v>
      </c>
      <c r="K143" s="11">
        <v>39404.0</v>
      </c>
      <c r="L143" s="11">
        <v>266.0</v>
      </c>
      <c r="M143" s="12" t="s">
        <v>33</v>
      </c>
      <c r="N143" s="12" t="s">
        <v>26</v>
      </c>
      <c r="O143" s="12" t="s">
        <v>26</v>
      </c>
      <c r="P143" s="13">
        <v>0.08860696018453515</v>
      </c>
      <c r="Q143" s="14">
        <f t="shared" si="1"/>
        <v>45574</v>
      </c>
      <c r="R143" s="13">
        <f t="shared" si="2"/>
        <v>3534</v>
      </c>
      <c r="S143" s="15" t="str">
        <f t="shared" si="3"/>
        <v>During Campaign</v>
      </c>
      <c r="T143" s="16">
        <f t="shared" si="4"/>
        <v>-3517</v>
      </c>
      <c r="U143" s="15">
        <f t="shared" si="5"/>
        <v>41</v>
      </c>
    </row>
    <row r="144" ht="14.25" customHeight="1">
      <c r="A144" s="9" t="s">
        <v>191</v>
      </c>
      <c r="B144" s="9" t="s">
        <v>126</v>
      </c>
      <c r="C144" s="10">
        <v>45700.0</v>
      </c>
      <c r="D144" s="10" t="str">
        <f>IF(
  AND(C144 &gt;= 'Campaign Metadata'!J$2, C144 &lt;= 'Campaign Metadata'!H$2),
  'Campaign Metadata'!A$2,
IF(
  AND(C144 &gt;= 'Campaign Metadata'!J$3, C144 &lt;= 'Campaign Metadata'!H$3),
  'Campaign Metadata'!A$3,
IF(
  AND(C144 &gt;= 'Campaign Metadata'!J$4, C144 &lt;= 'Campaign Metadata'!H$4),
  'Campaign Metadata'!A$4,
IF(
  AND(C144 &gt;= 'Campaign Metadata'!J$5, C144 &lt;= 'Campaign Metadata'!H$5),
  'Campaign Metadata'!A$5,
"Outside Campaign"
))))
</f>
        <v>NewYearRefresh</v>
      </c>
      <c r="E144" s="9" t="s">
        <v>31</v>
      </c>
      <c r="F144" s="9" t="s">
        <v>127</v>
      </c>
      <c r="G144" s="11">
        <v>4332.0</v>
      </c>
      <c r="H144" s="11">
        <v>771.0</v>
      </c>
      <c r="I144" s="11">
        <v>219.0</v>
      </c>
      <c r="J144" s="11">
        <v>60648.0</v>
      </c>
      <c r="K144" s="11">
        <v>60397.0</v>
      </c>
      <c r="L144" s="11">
        <v>10.0</v>
      </c>
      <c r="M144" s="12" t="s">
        <v>25</v>
      </c>
      <c r="N144" s="12" t="s">
        <v>33</v>
      </c>
      <c r="O144" s="12" t="s">
        <v>77</v>
      </c>
      <c r="P144" s="13">
        <v>0.08775227542540562</v>
      </c>
      <c r="Q144" s="14">
        <f t="shared" si="1"/>
        <v>45700</v>
      </c>
      <c r="R144" s="13">
        <f t="shared" si="2"/>
        <v>5322</v>
      </c>
      <c r="S144" s="15" t="str">
        <f t="shared" si="3"/>
        <v>During Campaign</v>
      </c>
      <c r="T144" s="16">
        <f t="shared" si="4"/>
        <v>20993</v>
      </c>
      <c r="U144" s="15">
        <f t="shared" si="5"/>
        <v>7</v>
      </c>
    </row>
    <row r="145" ht="14.25" customHeight="1">
      <c r="A145" s="9" t="s">
        <v>192</v>
      </c>
      <c r="B145" s="9" t="s">
        <v>126</v>
      </c>
      <c r="C145" s="10">
        <v>45517.0</v>
      </c>
      <c r="D145" s="10" t="str">
        <f>IF(
  AND(C145 &gt;= 'Campaign Metadata'!J$2, C145 &lt;= 'Campaign Metadata'!H$2),
  'Campaign Metadata'!A$2,
IF(
  AND(C145 &gt;= 'Campaign Metadata'!J$3, C145 &lt;= 'Campaign Metadata'!H$3),
  'Campaign Metadata'!A$3,
IF(
  AND(C145 &gt;= 'Campaign Metadata'!J$4, C145 &lt;= 'Campaign Metadata'!H$4),
  'Campaign Metadata'!A$4,
IF(
  AND(C145 &gt;= 'Campaign Metadata'!J$5, C145 &lt;= 'Campaign Metadata'!H$5),
  'Campaign Metadata'!A$5,
"Outside Campaign"
))))
</f>
        <v>SummerSplash</v>
      </c>
      <c r="E145" s="9" t="s">
        <v>28</v>
      </c>
      <c r="F145" s="9" t="s">
        <v>134</v>
      </c>
      <c r="G145" s="11">
        <v>4739.0</v>
      </c>
      <c r="H145" s="11">
        <v>527.0</v>
      </c>
      <c r="I145" s="11">
        <v>135.0</v>
      </c>
      <c r="J145" s="11">
        <v>61607.0</v>
      </c>
      <c r="K145" s="11">
        <v>61333.0</v>
      </c>
      <c r="L145" s="11">
        <v>36.0</v>
      </c>
      <c r="M145" s="12" t="s">
        <v>25</v>
      </c>
      <c r="N145" s="12" t="s">
        <v>67</v>
      </c>
      <c r="O145" s="12" t="s">
        <v>26</v>
      </c>
      <c r="P145" s="13">
        <v>0.08766860908662977</v>
      </c>
      <c r="Q145" s="14">
        <f t="shared" si="1"/>
        <v>45517</v>
      </c>
      <c r="R145" s="13">
        <f t="shared" si="2"/>
        <v>5401</v>
      </c>
      <c r="S145" s="15" t="str">
        <f t="shared" si="3"/>
        <v>During Campaign</v>
      </c>
      <c r="T145" s="16">
        <f t="shared" si="4"/>
        <v>936</v>
      </c>
      <c r="U145" s="15">
        <f t="shared" si="5"/>
        <v>33</v>
      </c>
    </row>
    <row r="146" ht="14.25" customHeight="1">
      <c r="A146" s="9" t="s">
        <v>193</v>
      </c>
      <c r="B146" s="9" t="s">
        <v>126</v>
      </c>
      <c r="C146" s="10">
        <v>45778.0</v>
      </c>
      <c r="D146" s="10" t="str">
        <f>IF(
  AND(C146 &gt;= 'Campaign Metadata'!J$2, C146 &lt;= 'Campaign Metadata'!H$2),
  'Campaign Metadata'!A$2,
IF(
  AND(C146 &gt;= 'Campaign Metadata'!J$3, C146 &lt;= 'Campaign Metadata'!H$3),
  'Campaign Metadata'!A$3,
IF(
  AND(C146 &gt;= 'Campaign Metadata'!J$4, C146 &lt;= 'Campaign Metadata'!H$4),
  'Campaign Metadata'!A$4,
IF(
  AND(C146 &gt;= 'Campaign Metadata'!J$5, C146 &lt;= 'Campaign Metadata'!H$5),
  'Campaign Metadata'!A$5,
"Outside Campaign"
))))
</f>
        <v>Outside Campaign</v>
      </c>
      <c r="E146" s="9" t="s">
        <v>35</v>
      </c>
      <c r="F146" s="9" t="s">
        <v>143</v>
      </c>
      <c r="G146" s="11">
        <v>1430.0</v>
      </c>
      <c r="H146" s="11">
        <v>376.0</v>
      </c>
      <c r="I146" s="11">
        <v>33.0</v>
      </c>
      <c r="J146" s="11">
        <v>21450.0</v>
      </c>
      <c r="K146" s="11">
        <v>20509.0</v>
      </c>
      <c r="L146" s="11">
        <v>251.0</v>
      </c>
      <c r="M146" s="12" t="s">
        <v>38</v>
      </c>
      <c r="N146" s="12" t="s">
        <v>26</v>
      </c>
      <c r="O146" s="12" t="s">
        <v>26</v>
      </c>
      <c r="P146" s="13">
        <v>0.08573426573426574</v>
      </c>
      <c r="Q146" s="14">
        <f t="shared" si="1"/>
        <v>45778</v>
      </c>
      <c r="R146" s="13">
        <f t="shared" si="2"/>
        <v>1839</v>
      </c>
      <c r="S146" s="15" t="str">
        <f t="shared" si="3"/>
        <v>Before Campaign</v>
      </c>
      <c r="T146" s="16">
        <f t="shared" si="4"/>
        <v>-40824</v>
      </c>
      <c r="U146" s="15">
        <f t="shared" si="5"/>
        <v>18</v>
      </c>
    </row>
    <row r="147" ht="14.25" customHeight="1">
      <c r="A147" s="9" t="s">
        <v>194</v>
      </c>
      <c r="B147" s="9" t="s">
        <v>126</v>
      </c>
      <c r="C147" s="10">
        <v>45692.0</v>
      </c>
      <c r="D147" s="10" t="str">
        <f>IF(
  AND(C147 &gt;= 'Campaign Metadata'!J$2, C147 &lt;= 'Campaign Metadata'!H$2),
  'Campaign Metadata'!A$2,
IF(
  AND(C147 &gt;= 'Campaign Metadata'!J$3, C147 &lt;= 'Campaign Metadata'!H$3),
  'Campaign Metadata'!A$3,
IF(
  AND(C147 &gt;= 'Campaign Metadata'!J$4, C147 &lt;= 'Campaign Metadata'!H$4),
  'Campaign Metadata'!A$4,
IF(
  AND(C147 &gt;= 'Campaign Metadata'!J$5, C147 &lt;= 'Campaign Metadata'!H$5),
  'Campaign Metadata'!A$5,
"Outside Campaign"
))))
</f>
        <v>NewYearRefresh</v>
      </c>
      <c r="E147" s="9" t="s">
        <v>28</v>
      </c>
      <c r="F147" s="9" t="s">
        <v>134</v>
      </c>
      <c r="G147" s="11">
        <v>4619.0</v>
      </c>
      <c r="H147" s="11">
        <v>821.0</v>
      </c>
      <c r="I147" s="11">
        <v>499.0</v>
      </c>
      <c r="J147" s="11">
        <v>69285.0</v>
      </c>
      <c r="K147" s="11">
        <v>69141.0</v>
      </c>
      <c r="L147" s="11">
        <v>298.0</v>
      </c>
      <c r="M147" s="12" t="s">
        <v>25</v>
      </c>
      <c r="N147" s="12" t="s">
        <v>26</v>
      </c>
      <c r="O147" s="12" t="s">
        <v>26</v>
      </c>
      <c r="P147" s="13">
        <v>0.08571840946813884</v>
      </c>
      <c r="Q147" s="14">
        <f t="shared" si="1"/>
        <v>45692</v>
      </c>
      <c r="R147" s="13">
        <f t="shared" si="2"/>
        <v>5939</v>
      </c>
      <c r="S147" s="15" t="str">
        <f t="shared" si="3"/>
        <v>During Campaign</v>
      </c>
      <c r="T147" s="16">
        <f t="shared" si="4"/>
        <v>48632</v>
      </c>
      <c r="U147" s="15">
        <f t="shared" si="5"/>
        <v>6</v>
      </c>
    </row>
    <row r="148" ht="14.25" customHeight="1">
      <c r="A148" s="9" t="s">
        <v>195</v>
      </c>
      <c r="B148" s="9" t="s">
        <v>126</v>
      </c>
      <c r="C148" s="10">
        <v>45497.0</v>
      </c>
      <c r="D148" s="10" t="str">
        <f>IF(
  AND(C148 &gt;= 'Campaign Metadata'!J$2, C148 &lt;= 'Campaign Metadata'!H$2),
  'Campaign Metadata'!A$2,
IF(
  AND(C148 &gt;= 'Campaign Metadata'!J$3, C148 &lt;= 'Campaign Metadata'!H$3),
  'Campaign Metadata'!A$3,
IF(
  AND(C148 &gt;= 'Campaign Metadata'!J$4, C148 &lt;= 'Campaign Metadata'!H$4),
  'Campaign Metadata'!A$4,
IF(
  AND(C148 &gt;= 'Campaign Metadata'!J$5, C148 &lt;= 'Campaign Metadata'!H$5),
  'Campaign Metadata'!A$5,
"Outside Campaign"
))))
</f>
        <v>SummerSplash</v>
      </c>
      <c r="E148" s="9" t="s">
        <v>28</v>
      </c>
      <c r="F148" s="9" t="s">
        <v>134</v>
      </c>
      <c r="G148" s="11">
        <v>725.0</v>
      </c>
      <c r="H148" s="11">
        <v>88.0</v>
      </c>
      <c r="I148" s="11">
        <v>428.0</v>
      </c>
      <c r="J148" s="11">
        <v>14500.0</v>
      </c>
      <c r="K148" s="11">
        <v>13637.0</v>
      </c>
      <c r="L148" s="11">
        <v>200.0</v>
      </c>
      <c r="M148" s="12" t="s">
        <v>38</v>
      </c>
      <c r="N148" s="12" t="s">
        <v>25</v>
      </c>
      <c r="O148" s="12" t="s">
        <v>67</v>
      </c>
      <c r="P148" s="13">
        <v>0.08558620689655172</v>
      </c>
      <c r="Q148" s="14">
        <f t="shared" si="1"/>
        <v>45497</v>
      </c>
      <c r="R148" s="13">
        <f t="shared" si="2"/>
        <v>1241</v>
      </c>
      <c r="S148" s="15" t="str">
        <f t="shared" si="3"/>
        <v>During Campaign</v>
      </c>
      <c r="T148" s="16">
        <f t="shared" si="4"/>
        <v>-55504</v>
      </c>
      <c r="U148" s="15">
        <f t="shared" si="5"/>
        <v>30</v>
      </c>
    </row>
    <row r="149" ht="14.25" customHeight="1">
      <c r="A149" s="9" t="s">
        <v>196</v>
      </c>
      <c r="B149" s="9" t="s">
        <v>126</v>
      </c>
      <c r="C149" s="10">
        <v>45760.0</v>
      </c>
      <c r="D149" s="10" t="str">
        <f>IF(
  AND(C149 &gt;= 'Campaign Metadata'!J$2, C149 &lt;= 'Campaign Metadata'!H$2),
  'Campaign Metadata'!A$2,
IF(
  AND(C149 &gt;= 'Campaign Metadata'!J$3, C149 &lt;= 'Campaign Metadata'!H$3),
  'Campaign Metadata'!A$3,
IF(
  AND(C149 &gt;= 'Campaign Metadata'!J$4, C149 &lt;= 'Campaign Metadata'!H$4),
  'Campaign Metadata'!A$4,
IF(
  AND(C149 &gt;= 'Campaign Metadata'!J$5, C149 &lt;= 'Campaign Metadata'!H$5),
  'Campaign Metadata'!A$5,
"Outside Campaign"
))))
</f>
        <v>Outside Campaign</v>
      </c>
      <c r="E149" s="9" t="s">
        <v>50</v>
      </c>
      <c r="F149" s="9" t="s">
        <v>129</v>
      </c>
      <c r="G149" s="11">
        <v>4579.0</v>
      </c>
      <c r="H149" s="11">
        <v>125.0</v>
      </c>
      <c r="I149" s="11">
        <v>300.0</v>
      </c>
      <c r="J149" s="11">
        <v>59527.0</v>
      </c>
      <c r="K149" s="11">
        <v>59400.0</v>
      </c>
      <c r="L149" s="11">
        <v>269.0</v>
      </c>
      <c r="M149" s="12" t="s">
        <v>33</v>
      </c>
      <c r="N149" s="12" t="s">
        <v>26</v>
      </c>
      <c r="O149" s="12" t="s">
        <v>26</v>
      </c>
      <c r="P149" s="13">
        <v>0.08406269423958876</v>
      </c>
      <c r="Q149" s="14">
        <f t="shared" si="1"/>
        <v>45760</v>
      </c>
      <c r="R149" s="13">
        <f t="shared" si="2"/>
        <v>5004</v>
      </c>
      <c r="S149" s="15" t="str">
        <f t="shared" si="3"/>
        <v>Before Campaign</v>
      </c>
      <c r="T149" s="16">
        <f t="shared" si="4"/>
        <v>45763</v>
      </c>
      <c r="U149" s="15">
        <f t="shared" si="5"/>
        <v>15</v>
      </c>
    </row>
    <row r="150" ht="14.25" customHeight="1">
      <c r="A150" s="9" t="s">
        <v>197</v>
      </c>
      <c r="B150" s="9" t="s">
        <v>126</v>
      </c>
      <c r="C150" s="10">
        <v>45646.0</v>
      </c>
      <c r="D150" s="10" t="str">
        <f>IF(
  AND(C150 &gt;= 'Campaign Metadata'!J$2, C150 &lt;= 'Campaign Metadata'!H$2),
  'Campaign Metadata'!A$2,
IF(
  AND(C150 &gt;= 'Campaign Metadata'!J$3, C150 &lt;= 'Campaign Metadata'!H$3),
  'Campaign Metadata'!A$3,
IF(
  AND(C150 &gt;= 'Campaign Metadata'!J$4, C150 &lt;= 'Campaign Metadata'!H$4),
  'Campaign Metadata'!A$4,
IF(
  AND(C150 &gt;= 'Campaign Metadata'!J$5, C150 &lt;= 'Campaign Metadata'!H$5),
  'Campaign Metadata'!A$5,
"Outside Campaign"
))))
</f>
        <v>FestiveRadiance</v>
      </c>
      <c r="E150" s="9" t="s">
        <v>47</v>
      </c>
      <c r="F150" s="9" t="s">
        <v>137</v>
      </c>
      <c r="G150" s="11">
        <v>2107.0</v>
      </c>
      <c r="H150" s="11">
        <v>550.0</v>
      </c>
      <c r="I150" s="11">
        <v>349.0</v>
      </c>
      <c r="J150" s="11">
        <v>35819.0</v>
      </c>
      <c r="K150" s="11">
        <v>35340.0</v>
      </c>
      <c r="L150" s="11">
        <v>191.0</v>
      </c>
      <c r="M150" s="12" t="s">
        <v>33</v>
      </c>
      <c r="N150" s="12" t="s">
        <v>26</v>
      </c>
      <c r="O150" s="12" t="s">
        <v>26</v>
      </c>
      <c r="P150" s="13">
        <v>0.083921940869371</v>
      </c>
      <c r="Q150" s="14">
        <f t="shared" si="1"/>
        <v>45646</v>
      </c>
      <c r="R150" s="13">
        <f t="shared" si="2"/>
        <v>3006</v>
      </c>
      <c r="S150" s="15" t="str">
        <f t="shared" si="3"/>
        <v>During Campaign</v>
      </c>
      <c r="T150" s="16">
        <f t="shared" si="4"/>
        <v>-24060</v>
      </c>
      <c r="U150" s="15">
        <f t="shared" si="5"/>
        <v>51</v>
      </c>
    </row>
    <row r="151" ht="14.25" customHeight="1">
      <c r="A151" s="9" t="s">
        <v>198</v>
      </c>
      <c r="B151" s="9" t="s">
        <v>126</v>
      </c>
      <c r="C151" s="10">
        <v>45592.0</v>
      </c>
      <c r="D151" s="10" t="str">
        <f>IF(
  AND(C151 &gt;= 'Campaign Metadata'!J$2, C151 &lt;= 'Campaign Metadata'!H$2),
  'Campaign Metadata'!A$2,
IF(
  AND(C151 &gt;= 'Campaign Metadata'!J$3, C151 &lt;= 'Campaign Metadata'!H$3),
  'Campaign Metadata'!A$3,
IF(
  AND(C151 &gt;= 'Campaign Metadata'!J$4, C151 &lt;= 'Campaign Metadata'!H$4),
  'Campaign Metadata'!A$4,
IF(
  AND(C151 &gt;= 'Campaign Metadata'!J$5, C151 &lt;= 'Campaign Metadata'!H$5),
  'Campaign Metadata'!A$5,
"Outside Campaign"
))))
</f>
        <v>FestiveRadiance</v>
      </c>
      <c r="E151" s="9" t="s">
        <v>28</v>
      </c>
      <c r="F151" s="9" t="s">
        <v>134</v>
      </c>
      <c r="G151" s="11">
        <v>4853.0</v>
      </c>
      <c r="H151" s="11">
        <v>837.0</v>
      </c>
      <c r="I151" s="11">
        <v>340.0</v>
      </c>
      <c r="J151" s="11">
        <v>72795.0</v>
      </c>
      <c r="K151" s="11">
        <v>72237.0</v>
      </c>
      <c r="L151" s="11">
        <v>170.0</v>
      </c>
      <c r="M151" s="12" t="s">
        <v>33</v>
      </c>
      <c r="N151" s="12" t="s">
        <v>26</v>
      </c>
      <c r="O151" s="12" t="s">
        <v>26</v>
      </c>
      <c r="P151" s="13">
        <v>0.08283535957139913</v>
      </c>
      <c r="Q151" s="14">
        <f t="shared" si="1"/>
        <v>45592</v>
      </c>
      <c r="R151" s="13">
        <f t="shared" si="2"/>
        <v>6030</v>
      </c>
      <c r="S151" s="15" t="str">
        <f t="shared" si="3"/>
        <v>During Campaign</v>
      </c>
      <c r="T151" s="16">
        <f t="shared" si="4"/>
        <v>36897</v>
      </c>
      <c r="U151" s="15">
        <f t="shared" si="5"/>
        <v>43</v>
      </c>
    </row>
    <row r="152" ht="14.25" customHeight="1">
      <c r="A152" s="9" t="s">
        <v>199</v>
      </c>
      <c r="B152" s="9" t="s">
        <v>126</v>
      </c>
      <c r="C152" s="10">
        <v>45474.0</v>
      </c>
      <c r="D152" s="10" t="str">
        <f>IF(
  AND(C152 &gt;= 'Campaign Metadata'!J$2, C152 &lt;= 'Campaign Metadata'!H$2),
  'Campaign Metadata'!A$2,
IF(
  AND(C152 &gt;= 'Campaign Metadata'!J$3, C152 &lt;= 'Campaign Metadata'!H$3),
  'Campaign Metadata'!A$3,
IF(
  AND(C152 &gt;= 'Campaign Metadata'!J$4, C152 &lt;= 'Campaign Metadata'!H$4),
  'Campaign Metadata'!A$4,
IF(
  AND(C152 &gt;= 'Campaign Metadata'!J$5, C152 &lt;= 'Campaign Metadata'!H$5),
  'Campaign Metadata'!A$5,
"Outside Campaign"
))))
</f>
        <v>SummerSplash</v>
      </c>
      <c r="E152" s="9" t="s">
        <v>31</v>
      </c>
      <c r="F152" s="9" t="s">
        <v>127</v>
      </c>
      <c r="G152" s="11">
        <v>4808.0</v>
      </c>
      <c r="H152" s="11">
        <v>772.0</v>
      </c>
      <c r="I152" s="11">
        <v>320.0</v>
      </c>
      <c r="J152" s="11">
        <v>72120.0</v>
      </c>
      <c r="K152" s="11">
        <v>71696.0</v>
      </c>
      <c r="L152" s="11">
        <v>195.0</v>
      </c>
      <c r="M152" s="12" t="s">
        <v>33</v>
      </c>
      <c r="N152" s="12" t="s">
        <v>26</v>
      </c>
      <c r="O152" s="12" t="s">
        <v>26</v>
      </c>
      <c r="P152" s="13">
        <v>0.08180809761508596</v>
      </c>
      <c r="Q152" s="14">
        <f t="shared" si="1"/>
        <v>45474</v>
      </c>
      <c r="R152" s="13">
        <f t="shared" si="2"/>
        <v>5900</v>
      </c>
      <c r="S152" s="15" t="str">
        <f t="shared" si="3"/>
        <v>During Campaign</v>
      </c>
      <c r="T152" s="16">
        <f t="shared" si="4"/>
        <v>-541</v>
      </c>
      <c r="U152" s="15">
        <f t="shared" si="5"/>
        <v>27</v>
      </c>
    </row>
    <row r="153" ht="14.25" customHeight="1">
      <c r="A153" s="9" t="s">
        <v>200</v>
      </c>
      <c r="B153" s="9" t="s">
        <v>126</v>
      </c>
      <c r="C153" s="10">
        <v>45567.0</v>
      </c>
      <c r="D153" s="10" t="str">
        <f>IF(
  AND(C153 &gt;= 'Campaign Metadata'!J$2, C153 &lt;= 'Campaign Metadata'!H$2),
  'Campaign Metadata'!A$2,
IF(
  AND(C153 &gt;= 'Campaign Metadata'!J$3, C153 &lt;= 'Campaign Metadata'!H$3),
  'Campaign Metadata'!A$3,
IF(
  AND(C153 &gt;= 'Campaign Metadata'!J$4, C153 &lt;= 'Campaign Metadata'!H$4),
  'Campaign Metadata'!A$4,
IF(
  AND(C153 &gt;= 'Campaign Metadata'!J$5, C153 &lt;= 'Campaign Metadata'!H$5),
  'Campaign Metadata'!A$5,
"Outside Campaign"
))))
</f>
        <v>FestiveRadiance</v>
      </c>
      <c r="E153" s="9" t="s">
        <v>35</v>
      </c>
      <c r="F153" s="9" t="s">
        <v>143</v>
      </c>
      <c r="G153" s="11">
        <v>3432.0</v>
      </c>
      <c r="H153" s="11">
        <v>869.0</v>
      </c>
      <c r="I153" s="11">
        <v>123.0</v>
      </c>
      <c r="J153" s="11">
        <v>54912.0</v>
      </c>
      <c r="K153" s="11">
        <v>53916.0</v>
      </c>
      <c r="L153" s="11">
        <v>264.0</v>
      </c>
      <c r="M153" s="12" t="s">
        <v>33</v>
      </c>
      <c r="N153" s="12" t="s">
        <v>26</v>
      </c>
      <c r="O153" s="12" t="s">
        <v>26</v>
      </c>
      <c r="P153" s="13">
        <v>0.08056526806526806</v>
      </c>
      <c r="Q153" s="14">
        <f t="shared" si="1"/>
        <v>45567</v>
      </c>
      <c r="R153" s="13">
        <f t="shared" si="2"/>
        <v>4424</v>
      </c>
      <c r="S153" s="15" t="str">
        <f t="shared" si="3"/>
        <v>During Campaign</v>
      </c>
      <c r="T153" s="16">
        <f t="shared" si="4"/>
        <v>-17780</v>
      </c>
      <c r="U153" s="15">
        <f t="shared" si="5"/>
        <v>40</v>
      </c>
    </row>
    <row r="154" ht="14.25" customHeight="1">
      <c r="A154" s="9" t="s">
        <v>201</v>
      </c>
      <c r="B154" s="9" t="s">
        <v>126</v>
      </c>
      <c r="C154" s="10">
        <v>45456.0</v>
      </c>
      <c r="D154" s="10" t="str">
        <f>IF(
  AND(C154 &gt;= 'Campaign Metadata'!J$2, C154 &lt;= 'Campaign Metadata'!H$2),
  'Campaign Metadata'!A$2,
IF(
  AND(C154 &gt;= 'Campaign Metadata'!J$3, C154 &lt;= 'Campaign Metadata'!H$3),
  'Campaign Metadata'!A$3,
IF(
  AND(C154 &gt;= 'Campaign Metadata'!J$4, C154 &lt;= 'Campaign Metadata'!H$4),
  'Campaign Metadata'!A$4,
IF(
  AND(C154 &gt;= 'Campaign Metadata'!J$5, C154 &lt;= 'Campaign Metadata'!H$5),
  'Campaign Metadata'!A$5,
"Outside Campaign"
))))
</f>
        <v>SummerSplash</v>
      </c>
      <c r="E154" s="9" t="s">
        <v>31</v>
      </c>
      <c r="F154" s="9" t="s">
        <v>127</v>
      </c>
      <c r="G154" s="11">
        <v>2103.0</v>
      </c>
      <c r="H154" s="11">
        <v>892.0</v>
      </c>
      <c r="I154" s="11">
        <v>103.0</v>
      </c>
      <c r="J154" s="11">
        <v>39957.0</v>
      </c>
      <c r="K154" s="11">
        <v>39466.0</v>
      </c>
      <c r="L154" s="11">
        <v>28.0</v>
      </c>
      <c r="M154" s="12" t="s">
        <v>38</v>
      </c>
      <c r="N154" s="12" t="s">
        <v>26</v>
      </c>
      <c r="O154" s="12" t="s">
        <v>26</v>
      </c>
      <c r="P154" s="13">
        <v>0.07753334834947569</v>
      </c>
      <c r="Q154" s="14">
        <f t="shared" si="1"/>
        <v>45456</v>
      </c>
      <c r="R154" s="13">
        <f t="shared" si="2"/>
        <v>3098</v>
      </c>
      <c r="S154" s="15" t="str">
        <f t="shared" si="3"/>
        <v>During Campaign</v>
      </c>
      <c r="T154" s="16">
        <f t="shared" si="4"/>
        <v>-14450</v>
      </c>
      <c r="U154" s="15">
        <f t="shared" si="5"/>
        <v>24</v>
      </c>
    </row>
    <row r="155" ht="14.25" customHeight="1">
      <c r="A155" s="9" t="s">
        <v>202</v>
      </c>
      <c r="B155" s="9" t="s">
        <v>126</v>
      </c>
      <c r="C155" s="10">
        <v>45661.0</v>
      </c>
      <c r="D155" s="10" t="str">
        <f>IF(
  AND(C155 &gt;= 'Campaign Metadata'!J$2, C155 &lt;= 'Campaign Metadata'!H$2),
  'Campaign Metadata'!A$2,
IF(
  AND(C155 &gt;= 'Campaign Metadata'!J$3, C155 &lt;= 'Campaign Metadata'!H$3),
  'Campaign Metadata'!A$3,
IF(
  AND(C155 &gt;= 'Campaign Metadata'!J$4, C155 &lt;= 'Campaign Metadata'!H$4),
  'Campaign Metadata'!A$4,
IF(
  AND(C155 &gt;= 'Campaign Metadata'!J$5, C155 &lt;= 'Campaign Metadata'!H$5),
  'Campaign Metadata'!A$5,
"Outside Campaign"
))))
</f>
        <v>NewYearRefresh</v>
      </c>
      <c r="E155" s="9" t="s">
        <v>50</v>
      </c>
      <c r="F155" s="9" t="s">
        <v>129</v>
      </c>
      <c r="G155" s="11">
        <v>4838.0</v>
      </c>
      <c r="H155" s="11">
        <v>640.0</v>
      </c>
      <c r="I155" s="11">
        <v>128.0</v>
      </c>
      <c r="J155" s="11">
        <v>72570.0</v>
      </c>
      <c r="K155" s="11">
        <v>72396.0</v>
      </c>
      <c r="L155" s="11">
        <v>83.0</v>
      </c>
      <c r="M155" s="12" t="s">
        <v>38</v>
      </c>
      <c r="N155" s="12" t="s">
        <v>26</v>
      </c>
      <c r="O155" s="12" t="s">
        <v>26</v>
      </c>
      <c r="P155" s="13">
        <v>0.07724955215653852</v>
      </c>
      <c r="Q155" s="14">
        <f t="shared" si="1"/>
        <v>45661</v>
      </c>
      <c r="R155" s="13">
        <f t="shared" si="2"/>
        <v>5606</v>
      </c>
      <c r="S155" s="15" t="str">
        <f t="shared" si="3"/>
        <v>During Campaign</v>
      </c>
      <c r="T155" s="16">
        <f t="shared" si="4"/>
        <v>32930</v>
      </c>
      <c r="U155" s="15">
        <f t="shared" si="5"/>
        <v>1</v>
      </c>
    </row>
    <row r="156" ht="14.25" customHeight="1">
      <c r="A156" s="9" t="s">
        <v>203</v>
      </c>
      <c r="B156" s="9" t="s">
        <v>126</v>
      </c>
      <c r="C156" s="10">
        <v>45766.0</v>
      </c>
      <c r="D156" s="10" t="str">
        <f>IF(
  AND(C156 &gt;= 'Campaign Metadata'!J$2, C156 &lt;= 'Campaign Metadata'!H$2),
  'Campaign Metadata'!A$2,
IF(
  AND(C156 &gt;= 'Campaign Metadata'!J$3, C156 &lt;= 'Campaign Metadata'!H$3),
  'Campaign Metadata'!A$3,
IF(
  AND(C156 &gt;= 'Campaign Metadata'!J$4, C156 &lt;= 'Campaign Metadata'!H$4),
  'Campaign Metadata'!A$4,
IF(
  AND(C156 &gt;= 'Campaign Metadata'!J$5, C156 &lt;= 'Campaign Metadata'!H$5),
  'Campaign Metadata'!A$5,
"Outside Campaign"
))))
</f>
        <v>Outside Campaign</v>
      </c>
      <c r="E156" s="9" t="s">
        <v>31</v>
      </c>
      <c r="F156" s="9" t="s">
        <v>127</v>
      </c>
      <c r="G156" s="11">
        <v>4518.0</v>
      </c>
      <c r="H156" s="11">
        <v>285.0</v>
      </c>
      <c r="I156" s="11">
        <v>383.0</v>
      </c>
      <c r="J156" s="11">
        <v>67770.0</v>
      </c>
      <c r="K156" s="11">
        <v>67621.0</v>
      </c>
      <c r="L156" s="11">
        <v>31.0</v>
      </c>
      <c r="M156" s="12" t="s">
        <v>33</v>
      </c>
      <c r="N156" s="12" t="s">
        <v>26</v>
      </c>
      <c r="O156" s="12" t="s">
        <v>26</v>
      </c>
      <c r="P156" s="13">
        <v>0.07652353548767891</v>
      </c>
      <c r="Q156" s="14">
        <f t="shared" si="1"/>
        <v>45766</v>
      </c>
      <c r="R156" s="13">
        <f t="shared" si="2"/>
        <v>5186</v>
      </c>
      <c r="S156" s="15" t="str">
        <f t="shared" si="3"/>
        <v>Before Campaign</v>
      </c>
      <c r="T156" s="16">
        <f t="shared" si="4"/>
        <v>-4775</v>
      </c>
      <c r="U156" s="15">
        <f t="shared" si="5"/>
        <v>16</v>
      </c>
    </row>
    <row r="157" ht="14.25" customHeight="1">
      <c r="A157" s="9" t="s">
        <v>204</v>
      </c>
      <c r="B157" s="9" t="s">
        <v>126</v>
      </c>
      <c r="C157" s="10">
        <v>45446.0</v>
      </c>
      <c r="D157" s="10" t="str">
        <f>IF(
  AND(C157 &gt;= 'Campaign Metadata'!J$2, C157 &lt;= 'Campaign Metadata'!H$2),
  'Campaign Metadata'!A$2,
IF(
  AND(C157 &gt;= 'Campaign Metadata'!J$3, C157 &lt;= 'Campaign Metadata'!H$3),
  'Campaign Metadata'!A$3,
IF(
  AND(C157 &gt;= 'Campaign Metadata'!J$4, C157 &lt;= 'Campaign Metadata'!H$4),
  'Campaign Metadata'!A$4,
IF(
  AND(C157 &gt;= 'Campaign Metadata'!J$5, C157 &lt;= 'Campaign Metadata'!H$5),
  'Campaign Metadata'!A$5,
"Outside Campaign"
))))
</f>
        <v>SummerSplash</v>
      </c>
      <c r="E157" s="9" t="s">
        <v>28</v>
      </c>
      <c r="F157" s="9" t="s">
        <v>134</v>
      </c>
      <c r="G157" s="11">
        <v>3861.0</v>
      </c>
      <c r="H157" s="11">
        <v>960.0</v>
      </c>
      <c r="I157" s="11">
        <v>101.0</v>
      </c>
      <c r="J157" s="11">
        <v>69498.0</v>
      </c>
      <c r="K157" s="11">
        <v>68817.0</v>
      </c>
      <c r="L157" s="11">
        <v>297.0</v>
      </c>
      <c r="M157" s="12" t="s">
        <v>25</v>
      </c>
      <c r="N157" s="12" t="s">
        <v>26</v>
      </c>
      <c r="O157" s="12" t="s">
        <v>26</v>
      </c>
      <c r="P157" s="13">
        <v>0.07082218193329304</v>
      </c>
      <c r="Q157" s="14">
        <f t="shared" si="1"/>
        <v>45446</v>
      </c>
      <c r="R157" s="13">
        <f t="shared" si="2"/>
        <v>4922</v>
      </c>
      <c r="S157" s="15" t="str">
        <f t="shared" si="3"/>
        <v>During Campaign</v>
      </c>
      <c r="T157" s="16">
        <f t="shared" si="4"/>
        <v>1196</v>
      </c>
      <c r="U157" s="15">
        <f t="shared" si="5"/>
        <v>23</v>
      </c>
    </row>
    <row r="158" ht="14.25" customHeight="1">
      <c r="A158" s="9" t="s">
        <v>205</v>
      </c>
      <c r="B158" s="9" t="s">
        <v>126</v>
      </c>
      <c r="C158" s="10">
        <v>45604.0</v>
      </c>
      <c r="D158" s="10" t="str">
        <f>IF(
  AND(C158 &gt;= 'Campaign Metadata'!J$2, C158 &lt;= 'Campaign Metadata'!H$2),
  'Campaign Metadata'!A$2,
IF(
  AND(C158 &gt;= 'Campaign Metadata'!J$3, C158 &lt;= 'Campaign Metadata'!H$3),
  'Campaign Metadata'!A$3,
IF(
  AND(C158 &gt;= 'Campaign Metadata'!J$4, C158 &lt;= 'Campaign Metadata'!H$4),
  'Campaign Metadata'!A$4,
IF(
  AND(C158 &gt;= 'Campaign Metadata'!J$5, C158 &lt;= 'Campaign Metadata'!H$5),
  'Campaign Metadata'!A$5,
"Outside Campaign"
))))
</f>
        <v>FestiveRadiance</v>
      </c>
      <c r="E158" s="9" t="s">
        <v>35</v>
      </c>
      <c r="F158" s="9" t="s">
        <v>143</v>
      </c>
      <c r="G158" s="11">
        <v>3182.0</v>
      </c>
      <c r="H158" s="11">
        <v>559.0</v>
      </c>
      <c r="I158" s="11">
        <v>160.0</v>
      </c>
      <c r="J158" s="11">
        <v>57276.0</v>
      </c>
      <c r="K158" s="11">
        <v>56890.0</v>
      </c>
      <c r="L158" s="11">
        <v>163.0</v>
      </c>
      <c r="M158" s="12" t="s">
        <v>38</v>
      </c>
      <c r="N158" s="12" t="s">
        <v>26</v>
      </c>
      <c r="O158" s="12" t="s">
        <v>26</v>
      </c>
      <c r="P158" s="13">
        <v>0.06810880648089951</v>
      </c>
      <c r="Q158" s="14">
        <f t="shared" si="1"/>
        <v>45604</v>
      </c>
      <c r="R158" s="13">
        <f t="shared" si="2"/>
        <v>3901</v>
      </c>
      <c r="S158" s="15" t="str">
        <f t="shared" si="3"/>
        <v>During Campaign</v>
      </c>
      <c r="T158" s="16">
        <f t="shared" si="4"/>
        <v>-11927</v>
      </c>
      <c r="U158" s="15">
        <f t="shared" si="5"/>
        <v>45</v>
      </c>
    </row>
    <row r="159" ht="14.25" customHeight="1">
      <c r="A159" s="9" t="s">
        <v>206</v>
      </c>
      <c r="B159" s="9" t="s">
        <v>126</v>
      </c>
      <c r="C159" s="10">
        <v>45587.0</v>
      </c>
      <c r="D159" s="10" t="str">
        <f>IF(
  AND(C159 &gt;= 'Campaign Metadata'!J$2, C159 &lt;= 'Campaign Metadata'!H$2),
  'Campaign Metadata'!A$2,
IF(
  AND(C159 &gt;= 'Campaign Metadata'!J$3, C159 &lt;= 'Campaign Metadata'!H$3),
  'Campaign Metadata'!A$3,
IF(
  AND(C159 &gt;= 'Campaign Metadata'!J$4, C159 &lt;= 'Campaign Metadata'!H$4),
  'Campaign Metadata'!A$4,
IF(
  AND(C159 &gt;= 'Campaign Metadata'!J$5, C159 &lt;= 'Campaign Metadata'!H$5),
  'Campaign Metadata'!A$5,
"Outside Campaign"
))))
</f>
        <v>FestiveRadiance</v>
      </c>
      <c r="E159" s="9" t="s">
        <v>31</v>
      </c>
      <c r="F159" s="9" t="s">
        <v>127</v>
      </c>
      <c r="G159" s="11">
        <v>3770.0</v>
      </c>
      <c r="H159" s="11">
        <v>917.0</v>
      </c>
      <c r="I159" s="11">
        <v>129.0</v>
      </c>
      <c r="J159" s="11">
        <v>71630.0</v>
      </c>
      <c r="K159" s="11">
        <v>71322.0</v>
      </c>
      <c r="L159" s="11">
        <v>76.0</v>
      </c>
      <c r="M159" s="12" t="s">
        <v>38</v>
      </c>
      <c r="N159" s="12" t="s">
        <v>26</v>
      </c>
      <c r="O159" s="12" t="s">
        <v>26</v>
      </c>
      <c r="P159" s="13">
        <v>0.06723439899483456</v>
      </c>
      <c r="Q159" s="14">
        <f t="shared" si="1"/>
        <v>45587</v>
      </c>
      <c r="R159" s="13">
        <f t="shared" si="2"/>
        <v>4816</v>
      </c>
      <c r="S159" s="15" t="str">
        <f t="shared" si="3"/>
        <v>During Campaign</v>
      </c>
      <c r="T159" s="16">
        <f t="shared" si="4"/>
        <v>14432</v>
      </c>
      <c r="U159" s="15">
        <f t="shared" si="5"/>
        <v>43</v>
      </c>
    </row>
    <row r="160" ht="14.25" customHeight="1">
      <c r="A160" s="9" t="s">
        <v>207</v>
      </c>
      <c r="B160" s="9" t="s">
        <v>126</v>
      </c>
      <c r="C160" s="10">
        <v>45544.0</v>
      </c>
      <c r="D160" s="10" t="str">
        <f>IF(
  AND(C160 &gt;= 'Campaign Metadata'!J$2, C160 &lt;= 'Campaign Metadata'!H$2),
  'Campaign Metadata'!A$2,
IF(
  AND(C160 &gt;= 'Campaign Metadata'!J$3, C160 &lt;= 'Campaign Metadata'!H$3),
  'Campaign Metadata'!A$3,
IF(
  AND(C160 &gt;= 'Campaign Metadata'!J$4, C160 &lt;= 'Campaign Metadata'!H$4),
  'Campaign Metadata'!A$4,
IF(
  AND(C160 &gt;= 'Campaign Metadata'!J$5, C160 &lt;= 'Campaign Metadata'!H$5),
  'Campaign Metadata'!A$5,
"Outside Campaign"
))))
</f>
        <v>SummerSplash</v>
      </c>
      <c r="E160" s="9" t="s">
        <v>47</v>
      </c>
      <c r="F160" s="9" t="s">
        <v>137</v>
      </c>
      <c r="G160" s="11">
        <v>4054.0</v>
      </c>
      <c r="H160" s="11">
        <v>488.0</v>
      </c>
      <c r="I160" s="11">
        <v>373.0</v>
      </c>
      <c r="J160" s="11">
        <v>77026.0</v>
      </c>
      <c r="K160" s="11">
        <v>76881.0</v>
      </c>
      <c r="L160" s="11">
        <v>25.0</v>
      </c>
      <c r="M160" s="12" t="s">
        <v>25</v>
      </c>
      <c r="N160" s="12" t="s">
        <v>26</v>
      </c>
      <c r="O160" s="12" t="s">
        <v>26</v>
      </c>
      <c r="P160" s="13">
        <v>0.06380962272479422</v>
      </c>
      <c r="Q160" s="14">
        <f t="shared" si="1"/>
        <v>45544</v>
      </c>
      <c r="R160" s="13">
        <f t="shared" si="2"/>
        <v>4915</v>
      </c>
      <c r="S160" s="15" t="str">
        <f t="shared" si="3"/>
        <v>During Campaign</v>
      </c>
      <c r="T160" s="16">
        <f t="shared" si="4"/>
        <v>5559</v>
      </c>
      <c r="U160" s="15">
        <f t="shared" si="5"/>
        <v>37</v>
      </c>
    </row>
    <row r="161" ht="14.25" customHeight="1">
      <c r="A161" s="9" t="s">
        <v>208</v>
      </c>
      <c r="B161" s="9" t="s">
        <v>126</v>
      </c>
      <c r="C161" s="10">
        <v>45713.0</v>
      </c>
      <c r="D161" s="10" t="str">
        <f>IF(
  AND(C161 &gt;= 'Campaign Metadata'!J$2, C161 &lt;= 'Campaign Metadata'!H$2),
  'Campaign Metadata'!A$2,
IF(
  AND(C161 &gt;= 'Campaign Metadata'!J$3, C161 &lt;= 'Campaign Metadata'!H$3),
  'Campaign Metadata'!A$3,
IF(
  AND(C161 &gt;= 'Campaign Metadata'!J$4, C161 &lt;= 'Campaign Metadata'!H$4),
  'Campaign Metadata'!A$4,
IF(
  AND(C161 &gt;= 'Campaign Metadata'!J$5, C161 &lt;= 'Campaign Metadata'!H$5),
  'Campaign Metadata'!A$5,
"Outside Campaign"
))))
</f>
        <v>NewYearRefresh</v>
      </c>
      <c r="E161" s="9" t="s">
        <v>23</v>
      </c>
      <c r="F161" s="9" t="s">
        <v>131</v>
      </c>
      <c r="G161" s="11">
        <v>3095.0</v>
      </c>
      <c r="H161" s="11">
        <v>39.0</v>
      </c>
      <c r="I161" s="11">
        <v>78.0</v>
      </c>
      <c r="J161" s="11">
        <v>55710.0</v>
      </c>
      <c r="K161" s="11">
        <v>54808.0</v>
      </c>
      <c r="L161" s="11">
        <v>93.0</v>
      </c>
      <c r="M161" s="12" t="s">
        <v>33</v>
      </c>
      <c r="N161" s="12" t="s">
        <v>26</v>
      </c>
      <c r="O161" s="12" t="s">
        <v>26</v>
      </c>
      <c r="P161" s="13">
        <v>0.057655717106444085</v>
      </c>
      <c r="Q161" s="14">
        <f t="shared" si="1"/>
        <v>45713</v>
      </c>
      <c r="R161" s="13">
        <f t="shared" si="2"/>
        <v>3212</v>
      </c>
      <c r="S161" s="15" t="str">
        <f t="shared" si="3"/>
        <v>During Campaign</v>
      </c>
      <c r="T161" s="16">
        <f t="shared" si="4"/>
        <v>-22073</v>
      </c>
      <c r="U161" s="15">
        <f t="shared" si="5"/>
        <v>9</v>
      </c>
    </row>
    <row r="162" ht="14.25" customHeight="1">
      <c r="A162" s="9" t="s">
        <v>209</v>
      </c>
      <c r="B162" s="9" t="s">
        <v>126</v>
      </c>
      <c r="C162" s="10">
        <v>45617.0</v>
      </c>
      <c r="D162" s="10" t="str">
        <f>IF(
  AND(C162 &gt;= 'Campaign Metadata'!J$2, C162 &lt;= 'Campaign Metadata'!H$2),
  'Campaign Metadata'!A$2,
IF(
  AND(C162 &gt;= 'Campaign Metadata'!J$3, C162 &lt;= 'Campaign Metadata'!H$3),
  'Campaign Metadata'!A$3,
IF(
  AND(C162 &gt;= 'Campaign Metadata'!J$4, C162 &lt;= 'Campaign Metadata'!H$4),
  'Campaign Metadata'!A$4,
IF(
  AND(C162 &gt;= 'Campaign Metadata'!J$5, C162 &lt;= 'Campaign Metadata'!H$5),
  'Campaign Metadata'!A$5,
"Outside Campaign"
))))
</f>
        <v>FestiveRadiance</v>
      </c>
      <c r="E162" s="9" t="s">
        <v>47</v>
      </c>
      <c r="F162" s="9" t="s">
        <v>137</v>
      </c>
      <c r="G162" s="11">
        <v>3773.0</v>
      </c>
      <c r="H162" s="11">
        <v>299.0</v>
      </c>
      <c r="I162" s="11">
        <v>38.0</v>
      </c>
      <c r="J162" s="11">
        <v>71687.0</v>
      </c>
      <c r="K162" s="11">
        <v>71447.0</v>
      </c>
      <c r="L162" s="11">
        <v>286.0</v>
      </c>
      <c r="M162" s="12" t="s">
        <v>38</v>
      </c>
      <c r="N162" s="12" t="s">
        <v>26</v>
      </c>
      <c r="O162" s="12" t="s">
        <v>26</v>
      </c>
      <c r="P162" s="13">
        <v>0.05733257075899396</v>
      </c>
      <c r="Q162" s="14">
        <f t="shared" si="1"/>
        <v>45617</v>
      </c>
      <c r="R162" s="13">
        <f t="shared" si="2"/>
        <v>4110</v>
      </c>
      <c r="S162" s="15" t="str">
        <f t="shared" si="3"/>
        <v>During Campaign</v>
      </c>
      <c r="T162" s="16">
        <f t="shared" si="4"/>
        <v>16639</v>
      </c>
      <c r="U162" s="15">
        <f t="shared" si="5"/>
        <v>47</v>
      </c>
    </row>
    <row r="163" ht="14.25" customHeight="1">
      <c r="A163" s="9" t="s">
        <v>210</v>
      </c>
      <c r="B163" s="9" t="s">
        <v>126</v>
      </c>
      <c r="C163" s="10">
        <v>45516.0</v>
      </c>
      <c r="D163" s="10" t="str">
        <f>IF(
  AND(C163 &gt;= 'Campaign Metadata'!J$2, C163 &lt;= 'Campaign Metadata'!H$2),
  'Campaign Metadata'!A$2,
IF(
  AND(C163 &gt;= 'Campaign Metadata'!J$3, C163 &lt;= 'Campaign Metadata'!H$3),
  'Campaign Metadata'!A$3,
IF(
  AND(C163 &gt;= 'Campaign Metadata'!J$4, C163 &lt;= 'Campaign Metadata'!H$4),
  'Campaign Metadata'!A$4,
IF(
  AND(C163 &gt;= 'Campaign Metadata'!J$5, C163 &lt;= 'Campaign Metadata'!H$5),
  'Campaign Metadata'!A$5,
"Outside Campaign"
))))
</f>
        <v>SummerSplash</v>
      </c>
      <c r="E163" s="9" t="s">
        <v>47</v>
      </c>
      <c r="F163" s="9" t="s">
        <v>137</v>
      </c>
      <c r="G163" s="11">
        <v>1878.0</v>
      </c>
      <c r="H163" s="11">
        <v>62.0</v>
      </c>
      <c r="I163" s="11">
        <v>179.0</v>
      </c>
      <c r="J163" s="11">
        <v>37560.0</v>
      </c>
      <c r="K163" s="11">
        <v>36874.0</v>
      </c>
      <c r="L163" s="11">
        <v>142.0</v>
      </c>
      <c r="M163" s="12" t="s">
        <v>25</v>
      </c>
      <c r="N163" s="12" t="s">
        <v>26</v>
      </c>
      <c r="O163" s="12" t="s">
        <v>26</v>
      </c>
      <c r="P163" s="13">
        <v>0.05641640042598509</v>
      </c>
      <c r="Q163" s="14">
        <f t="shared" si="1"/>
        <v>45516</v>
      </c>
      <c r="R163" s="13">
        <f t="shared" si="2"/>
        <v>2119</v>
      </c>
      <c r="S163" s="15" t="str">
        <f t="shared" si="3"/>
        <v>During Campaign</v>
      </c>
      <c r="T163" s="16">
        <f t="shared" si="4"/>
        <v>-34573</v>
      </c>
      <c r="U163" s="15">
        <f t="shared" si="5"/>
        <v>33</v>
      </c>
    </row>
    <row r="164" ht="14.25" customHeight="1">
      <c r="A164" s="9" t="s">
        <v>211</v>
      </c>
      <c r="B164" s="9" t="s">
        <v>212</v>
      </c>
      <c r="C164" s="10">
        <v>45776.0</v>
      </c>
      <c r="D164" s="10" t="str">
        <f>IF(
  AND(C164 &gt;= 'Campaign Metadata'!J$2, C164 &lt;= 'Campaign Metadata'!H$2),
  'Campaign Metadata'!A$2,
IF(
  AND(C164 &gt;= 'Campaign Metadata'!J$3, C164 &lt;= 'Campaign Metadata'!H$3),
  'Campaign Metadata'!A$3,
IF(
  AND(C164 &gt;= 'Campaign Metadata'!J$4, C164 &lt;= 'Campaign Metadata'!H$4),
  'Campaign Metadata'!A$4,
IF(
  AND(C164 &gt;= 'Campaign Metadata'!J$5, C164 &lt;= 'Campaign Metadata'!H$5),
  'Campaign Metadata'!A$5,
"Outside Campaign"
))))
</f>
        <v>Outside Campaign</v>
      </c>
      <c r="E164" s="9" t="s">
        <v>31</v>
      </c>
      <c r="F164" s="9" t="s">
        <v>213</v>
      </c>
      <c r="G164" s="11">
        <v>249.0</v>
      </c>
      <c r="H164" s="11">
        <v>592.0</v>
      </c>
      <c r="I164" s="11">
        <v>230.0</v>
      </c>
      <c r="J164" s="11">
        <v>1494.0</v>
      </c>
      <c r="K164" s="11">
        <v>1044.0</v>
      </c>
      <c r="L164" s="11">
        <v>201.0</v>
      </c>
      <c r="M164" s="12" t="s">
        <v>33</v>
      </c>
      <c r="N164" s="12" t="s">
        <v>26</v>
      </c>
      <c r="O164" s="12" t="s">
        <v>26</v>
      </c>
      <c r="P164" s="13">
        <v>0.7168674698795181</v>
      </c>
      <c r="Q164" s="14">
        <f t="shared" si="1"/>
        <v>45776</v>
      </c>
      <c r="R164" s="13">
        <f t="shared" si="2"/>
        <v>1071</v>
      </c>
      <c r="S164" s="15" t="str">
        <f t="shared" si="3"/>
        <v>Before Campaign</v>
      </c>
      <c r="T164" s="15">
        <f t="shared" si="4"/>
        <v>0</v>
      </c>
      <c r="U164" s="15">
        <f t="shared" si="5"/>
        <v>18</v>
      </c>
    </row>
    <row r="165" ht="14.25" customHeight="1">
      <c r="A165" s="9" t="s">
        <v>214</v>
      </c>
      <c r="B165" s="9" t="s">
        <v>212</v>
      </c>
      <c r="C165" s="10">
        <v>45618.0</v>
      </c>
      <c r="D165" s="10" t="str">
        <f>IF(
  AND(C165 &gt;= 'Campaign Metadata'!J$2, C165 &lt;= 'Campaign Metadata'!H$2),
  'Campaign Metadata'!A$2,
IF(
  AND(C165 &gt;= 'Campaign Metadata'!J$3, C165 &lt;= 'Campaign Metadata'!H$3),
  'Campaign Metadata'!A$3,
IF(
  AND(C165 &gt;= 'Campaign Metadata'!J$4, C165 &lt;= 'Campaign Metadata'!H$4),
  'Campaign Metadata'!A$4,
IF(
  AND(C165 &gt;= 'Campaign Metadata'!J$5, C165 &lt;= 'Campaign Metadata'!H$5),
  'Campaign Metadata'!A$5,
"Outside Campaign"
))))
</f>
        <v>FestiveRadiance</v>
      </c>
      <c r="E165" s="9" t="s">
        <v>47</v>
      </c>
      <c r="F165" s="9" t="s">
        <v>215</v>
      </c>
      <c r="G165" s="11">
        <v>53.0</v>
      </c>
      <c r="H165" s="11">
        <v>81.0</v>
      </c>
      <c r="I165" s="11">
        <v>379.0</v>
      </c>
      <c r="J165" s="11">
        <v>954.0</v>
      </c>
      <c r="K165" s="11">
        <v>7.0</v>
      </c>
      <c r="L165" s="11">
        <v>148.0</v>
      </c>
      <c r="M165" s="12" t="s">
        <v>25</v>
      </c>
      <c r="N165" s="12" t="s">
        <v>26</v>
      </c>
      <c r="O165" s="12" t="s">
        <v>26</v>
      </c>
      <c r="P165" s="13">
        <v>0.5377358490566038</v>
      </c>
      <c r="Q165" s="14">
        <f t="shared" si="1"/>
        <v>45618</v>
      </c>
      <c r="R165" s="13">
        <f t="shared" si="2"/>
        <v>513</v>
      </c>
      <c r="S165" s="15" t="str">
        <f t="shared" si="3"/>
        <v>During Campaign</v>
      </c>
      <c r="T165" s="16">
        <f t="shared" si="4"/>
        <v>-1037</v>
      </c>
      <c r="U165" s="15">
        <f t="shared" si="5"/>
        <v>47</v>
      </c>
    </row>
    <row r="166" ht="14.25" customHeight="1">
      <c r="A166" s="9" t="s">
        <v>216</v>
      </c>
      <c r="B166" s="9" t="s">
        <v>212</v>
      </c>
      <c r="C166" s="10">
        <v>45687.0</v>
      </c>
      <c r="D166" s="10" t="str">
        <f>IF(
  AND(C166 &gt;= 'Campaign Metadata'!J$2, C166 &lt;= 'Campaign Metadata'!H$2),
  'Campaign Metadata'!A$2,
IF(
  AND(C166 &gt;= 'Campaign Metadata'!J$3, C166 &lt;= 'Campaign Metadata'!H$3),
  'Campaign Metadata'!A$3,
IF(
  AND(C166 &gt;= 'Campaign Metadata'!J$4, C166 &lt;= 'Campaign Metadata'!H$4),
  'Campaign Metadata'!A$4,
IF(
  AND(C166 &gt;= 'Campaign Metadata'!J$5, C166 &lt;= 'Campaign Metadata'!H$5),
  'Campaign Metadata'!A$5,
"Outside Campaign"
))))
</f>
        <v>NewYearRefresh</v>
      </c>
      <c r="E166" s="9" t="s">
        <v>28</v>
      </c>
      <c r="F166" s="9" t="s">
        <v>217</v>
      </c>
      <c r="G166" s="11">
        <v>59.0</v>
      </c>
      <c r="H166" s="11">
        <v>163.0</v>
      </c>
      <c r="I166" s="11">
        <v>93.0</v>
      </c>
      <c r="J166" s="11">
        <v>590.0</v>
      </c>
      <c r="K166" s="11">
        <v>475.0</v>
      </c>
      <c r="L166" s="11">
        <v>293.0</v>
      </c>
      <c r="M166" s="12" t="s">
        <v>25</v>
      </c>
      <c r="N166" s="12" t="s">
        <v>26</v>
      </c>
      <c r="O166" s="12" t="s">
        <v>26</v>
      </c>
      <c r="P166" s="13">
        <v>0.5338983050847458</v>
      </c>
      <c r="Q166" s="14">
        <f t="shared" si="1"/>
        <v>45687</v>
      </c>
      <c r="R166" s="13">
        <f t="shared" si="2"/>
        <v>315</v>
      </c>
      <c r="S166" s="15" t="str">
        <f t="shared" si="3"/>
        <v>During Campaign</v>
      </c>
      <c r="T166" s="16">
        <f t="shared" si="4"/>
        <v>468</v>
      </c>
      <c r="U166" s="15">
        <f t="shared" si="5"/>
        <v>5</v>
      </c>
    </row>
    <row r="167" ht="14.25" customHeight="1">
      <c r="A167" s="9" t="s">
        <v>218</v>
      </c>
      <c r="B167" s="9" t="s">
        <v>212</v>
      </c>
      <c r="C167" s="10">
        <v>45553.0</v>
      </c>
      <c r="D167" s="10" t="str">
        <f>IF(
  AND(C167 &gt;= 'Campaign Metadata'!J$2, C167 &lt;= 'Campaign Metadata'!H$2),
  'Campaign Metadata'!A$2,
IF(
  AND(C167 &gt;= 'Campaign Metadata'!J$3, C167 &lt;= 'Campaign Metadata'!H$3),
  'Campaign Metadata'!A$3,
IF(
  AND(C167 &gt;= 'Campaign Metadata'!J$4, C167 &lt;= 'Campaign Metadata'!H$4),
  'Campaign Metadata'!A$4,
IF(
  AND(C167 &gt;= 'Campaign Metadata'!J$5, C167 &lt;= 'Campaign Metadata'!H$5),
  'Campaign Metadata'!A$5,
"Outside Campaign"
))))
</f>
        <v>SummerSplash</v>
      </c>
      <c r="E167" s="9" t="s">
        <v>50</v>
      </c>
      <c r="F167" s="9" t="s">
        <v>219</v>
      </c>
      <c r="G167" s="11">
        <v>1000.0</v>
      </c>
      <c r="H167" s="11">
        <v>978.0</v>
      </c>
      <c r="I167" s="11">
        <v>162.0</v>
      </c>
      <c r="J167" s="11">
        <v>6000.0</v>
      </c>
      <c r="K167" s="11">
        <v>5221.0</v>
      </c>
      <c r="L167" s="11">
        <v>223.0</v>
      </c>
      <c r="M167" s="12" t="s">
        <v>33</v>
      </c>
      <c r="N167" s="12" t="s">
        <v>26</v>
      </c>
      <c r="O167" s="12" t="s">
        <v>26</v>
      </c>
      <c r="P167" s="13">
        <v>0.3566666666666667</v>
      </c>
      <c r="Q167" s="14">
        <f t="shared" si="1"/>
        <v>45553</v>
      </c>
      <c r="R167" s="13">
        <f t="shared" si="2"/>
        <v>2140</v>
      </c>
      <c r="S167" s="15" t="str">
        <f t="shared" si="3"/>
        <v>During Campaign</v>
      </c>
      <c r="T167" s="16">
        <f t="shared" si="4"/>
        <v>4746</v>
      </c>
      <c r="U167" s="15">
        <f t="shared" si="5"/>
        <v>38</v>
      </c>
    </row>
    <row r="168" ht="14.25" customHeight="1">
      <c r="A168" s="9" t="s">
        <v>220</v>
      </c>
      <c r="B168" s="9" t="s">
        <v>212</v>
      </c>
      <c r="C168" s="10">
        <v>45499.0</v>
      </c>
      <c r="D168" s="10" t="str">
        <f>IF(
  AND(C168 &gt;= 'Campaign Metadata'!J$2, C168 &lt;= 'Campaign Metadata'!H$2),
  'Campaign Metadata'!A$2,
IF(
  AND(C168 &gt;= 'Campaign Metadata'!J$3, C168 &lt;= 'Campaign Metadata'!H$3),
  'Campaign Metadata'!A$3,
IF(
  AND(C168 &gt;= 'Campaign Metadata'!J$4, C168 &lt;= 'Campaign Metadata'!H$4),
  'Campaign Metadata'!A$4,
IF(
  AND(C168 &gt;= 'Campaign Metadata'!J$5, C168 &lt;= 'Campaign Metadata'!H$5),
  'Campaign Metadata'!A$5,
"Outside Campaign"
))))
</f>
        <v>SummerSplash</v>
      </c>
      <c r="E168" s="9" t="s">
        <v>47</v>
      </c>
      <c r="F168" s="9" t="s">
        <v>215</v>
      </c>
      <c r="G168" s="11">
        <v>432.0</v>
      </c>
      <c r="H168" s="11">
        <v>171.0</v>
      </c>
      <c r="I168" s="11">
        <v>280.0</v>
      </c>
      <c r="J168" s="11">
        <v>3024.0</v>
      </c>
      <c r="K168" s="11">
        <v>2285.0</v>
      </c>
      <c r="L168" s="11">
        <v>184.0</v>
      </c>
      <c r="M168" s="12" t="s">
        <v>33</v>
      </c>
      <c r="N168" s="12" t="s">
        <v>26</v>
      </c>
      <c r="O168" s="12" t="s">
        <v>26</v>
      </c>
      <c r="P168" s="13">
        <v>0.2919973544973545</v>
      </c>
      <c r="Q168" s="14">
        <f t="shared" si="1"/>
        <v>45499</v>
      </c>
      <c r="R168" s="13">
        <f t="shared" si="2"/>
        <v>883</v>
      </c>
      <c r="S168" s="15" t="str">
        <f t="shared" si="3"/>
        <v>During Campaign</v>
      </c>
      <c r="T168" s="16">
        <f t="shared" si="4"/>
        <v>-2936</v>
      </c>
      <c r="U168" s="15">
        <f t="shared" si="5"/>
        <v>30</v>
      </c>
    </row>
    <row r="169" ht="14.25" customHeight="1">
      <c r="A169" s="9" t="s">
        <v>221</v>
      </c>
      <c r="B169" s="9" t="s">
        <v>212</v>
      </c>
      <c r="C169" s="10">
        <v>45685.0</v>
      </c>
      <c r="D169" s="10" t="str">
        <f>IF(
  AND(C169 &gt;= 'Campaign Metadata'!J$2, C169 &lt;= 'Campaign Metadata'!H$2),
  'Campaign Metadata'!A$2,
IF(
  AND(C169 &gt;= 'Campaign Metadata'!J$3, C169 &lt;= 'Campaign Metadata'!H$3),
  'Campaign Metadata'!A$3,
IF(
  AND(C169 &gt;= 'Campaign Metadata'!J$4, C169 &lt;= 'Campaign Metadata'!H$4),
  'Campaign Metadata'!A$4,
IF(
  AND(C169 &gt;= 'Campaign Metadata'!J$5, C169 &lt;= 'Campaign Metadata'!H$5),
  'Campaign Metadata'!A$5,
"Outside Campaign"
))))
</f>
        <v>NewYearRefresh</v>
      </c>
      <c r="E169" s="9" t="s">
        <v>50</v>
      </c>
      <c r="F169" s="9" t="s">
        <v>219</v>
      </c>
      <c r="G169" s="11">
        <v>1188.0</v>
      </c>
      <c r="H169" s="11">
        <v>470.0</v>
      </c>
      <c r="I169" s="11">
        <v>174.0</v>
      </c>
      <c r="J169" s="11">
        <v>7128.0</v>
      </c>
      <c r="K169" s="11">
        <v>6145.0</v>
      </c>
      <c r="L169" s="11">
        <v>270.0</v>
      </c>
      <c r="M169" s="12" t="s">
        <v>25</v>
      </c>
      <c r="N169" s="12" t="s">
        <v>26</v>
      </c>
      <c r="O169" s="12" t="s">
        <v>26</v>
      </c>
      <c r="P169" s="13">
        <v>0.2570145903479237</v>
      </c>
      <c r="Q169" s="14">
        <f t="shared" si="1"/>
        <v>45685</v>
      </c>
      <c r="R169" s="13">
        <f t="shared" si="2"/>
        <v>1832</v>
      </c>
      <c r="S169" s="15" t="str">
        <f t="shared" si="3"/>
        <v>During Campaign</v>
      </c>
      <c r="T169" s="16">
        <f t="shared" si="4"/>
        <v>3860</v>
      </c>
      <c r="U169" s="15">
        <f t="shared" si="5"/>
        <v>5</v>
      </c>
    </row>
    <row r="170" ht="14.25" customHeight="1">
      <c r="A170" s="9" t="s">
        <v>222</v>
      </c>
      <c r="B170" s="9" t="s">
        <v>212</v>
      </c>
      <c r="C170" s="10">
        <v>45708.0</v>
      </c>
      <c r="D170" s="10" t="str">
        <f>IF(
  AND(C170 &gt;= 'Campaign Metadata'!J$2, C170 &lt;= 'Campaign Metadata'!H$2),
  'Campaign Metadata'!A$2,
IF(
  AND(C170 &gt;= 'Campaign Metadata'!J$3, C170 &lt;= 'Campaign Metadata'!H$3),
  'Campaign Metadata'!A$3,
IF(
  AND(C170 &gt;= 'Campaign Metadata'!J$4, C170 &lt;= 'Campaign Metadata'!H$4),
  'Campaign Metadata'!A$4,
IF(
  AND(C170 &gt;= 'Campaign Metadata'!J$5, C170 &lt;= 'Campaign Metadata'!H$5),
  'Campaign Metadata'!A$5,
"Outside Campaign"
))))
</f>
        <v>NewYearRefresh</v>
      </c>
      <c r="E170" s="9" t="s">
        <v>47</v>
      </c>
      <c r="F170" s="9" t="s">
        <v>215</v>
      </c>
      <c r="G170" s="11">
        <v>1877.0</v>
      </c>
      <c r="H170" s="11">
        <v>745.0</v>
      </c>
      <c r="I170" s="11">
        <v>225.0</v>
      </c>
      <c r="J170" s="11">
        <v>11262.0</v>
      </c>
      <c r="K170" s="11">
        <v>10967.0</v>
      </c>
      <c r="L170" s="11">
        <v>41.0</v>
      </c>
      <c r="M170" s="12" t="s">
        <v>33</v>
      </c>
      <c r="N170" s="12" t="s">
        <v>26</v>
      </c>
      <c r="O170" s="12" t="s">
        <v>26</v>
      </c>
      <c r="P170" s="13">
        <v>0.25279701651571657</v>
      </c>
      <c r="Q170" s="14">
        <f t="shared" si="1"/>
        <v>45708</v>
      </c>
      <c r="R170" s="13">
        <f t="shared" si="2"/>
        <v>2847</v>
      </c>
      <c r="S170" s="15" t="str">
        <f t="shared" si="3"/>
        <v>During Campaign</v>
      </c>
      <c r="T170" s="16">
        <f t="shared" si="4"/>
        <v>4822</v>
      </c>
      <c r="U170" s="15">
        <f t="shared" si="5"/>
        <v>8</v>
      </c>
    </row>
    <row r="171" ht="14.25" customHeight="1">
      <c r="A171" s="9" t="s">
        <v>223</v>
      </c>
      <c r="B171" s="9" t="s">
        <v>212</v>
      </c>
      <c r="C171" s="10">
        <v>45650.0</v>
      </c>
      <c r="D171" s="10" t="str">
        <f>IF(
  AND(C171 &gt;= 'Campaign Metadata'!J$2, C171 &lt;= 'Campaign Metadata'!H$2),
  'Campaign Metadata'!A$2,
IF(
  AND(C171 &gt;= 'Campaign Metadata'!J$3, C171 &lt;= 'Campaign Metadata'!H$3),
  'Campaign Metadata'!A$3,
IF(
  AND(C171 &gt;= 'Campaign Metadata'!J$4, C171 &lt;= 'Campaign Metadata'!H$4),
  'Campaign Metadata'!A$4,
IF(
  AND(C171 &gt;= 'Campaign Metadata'!J$5, C171 &lt;= 'Campaign Metadata'!H$5),
  'Campaign Metadata'!A$5,
"Outside Campaign"
))))
</f>
        <v>FestiveRadiance</v>
      </c>
      <c r="E171" s="9" t="s">
        <v>35</v>
      </c>
      <c r="F171" s="9" t="s">
        <v>224</v>
      </c>
      <c r="G171" s="11">
        <v>2166.0</v>
      </c>
      <c r="H171" s="11">
        <v>354.0</v>
      </c>
      <c r="I171" s="11">
        <v>117.0</v>
      </c>
      <c r="J171" s="11">
        <v>10830.0</v>
      </c>
      <c r="K171" s="11">
        <v>10245.0</v>
      </c>
      <c r="L171" s="11">
        <v>24.0</v>
      </c>
      <c r="M171" s="12" t="s">
        <v>33</v>
      </c>
      <c r="N171" s="12" t="s">
        <v>26</v>
      </c>
      <c r="O171" s="12" t="s">
        <v>26</v>
      </c>
      <c r="P171" s="13">
        <v>0.24349030470914126</v>
      </c>
      <c r="Q171" s="14">
        <f t="shared" si="1"/>
        <v>45650</v>
      </c>
      <c r="R171" s="13">
        <f t="shared" si="2"/>
        <v>2637</v>
      </c>
      <c r="S171" s="15" t="str">
        <f t="shared" si="3"/>
        <v>During Campaign</v>
      </c>
      <c r="T171" s="16">
        <f t="shared" si="4"/>
        <v>-722</v>
      </c>
      <c r="U171" s="15">
        <f t="shared" si="5"/>
        <v>52</v>
      </c>
    </row>
    <row r="172" ht="14.25" customHeight="1">
      <c r="A172" s="9" t="s">
        <v>225</v>
      </c>
      <c r="B172" s="9" t="s">
        <v>212</v>
      </c>
      <c r="C172" s="10">
        <v>45535.0</v>
      </c>
      <c r="D172" s="10" t="str">
        <f>IF(
  AND(C172 &gt;= 'Campaign Metadata'!J$2, C172 &lt;= 'Campaign Metadata'!H$2),
  'Campaign Metadata'!A$2,
IF(
  AND(C172 &gt;= 'Campaign Metadata'!J$3, C172 &lt;= 'Campaign Metadata'!H$3),
  'Campaign Metadata'!A$3,
IF(
  AND(C172 &gt;= 'Campaign Metadata'!J$4, C172 &lt;= 'Campaign Metadata'!H$4),
  'Campaign Metadata'!A$4,
IF(
  AND(C172 &gt;= 'Campaign Metadata'!J$5, C172 &lt;= 'Campaign Metadata'!H$5),
  'Campaign Metadata'!A$5,
"Outside Campaign"
))))
</f>
        <v>SummerSplash</v>
      </c>
      <c r="E172" s="9" t="s">
        <v>28</v>
      </c>
      <c r="F172" s="9" t="s">
        <v>217</v>
      </c>
      <c r="G172" s="11">
        <v>3170.0</v>
      </c>
      <c r="H172" s="11">
        <v>857.0</v>
      </c>
      <c r="I172" s="11">
        <v>379.0</v>
      </c>
      <c r="J172" s="11">
        <v>19020.0</v>
      </c>
      <c r="K172" s="11">
        <v>18559.0</v>
      </c>
      <c r="L172" s="11">
        <v>240.0</v>
      </c>
      <c r="M172" s="12" t="s">
        <v>38</v>
      </c>
      <c r="N172" s="12" t="s">
        <v>26</v>
      </c>
      <c r="O172" s="12" t="s">
        <v>26</v>
      </c>
      <c r="P172" s="13">
        <v>0.2316508937960042</v>
      </c>
      <c r="Q172" s="14">
        <f t="shared" si="1"/>
        <v>45535</v>
      </c>
      <c r="R172" s="13">
        <f t="shared" si="2"/>
        <v>4406</v>
      </c>
      <c r="S172" s="15" t="str">
        <f t="shared" si="3"/>
        <v>During Campaign</v>
      </c>
      <c r="T172" s="16">
        <f t="shared" si="4"/>
        <v>8314</v>
      </c>
      <c r="U172" s="15">
        <f t="shared" si="5"/>
        <v>35</v>
      </c>
    </row>
    <row r="173" ht="14.25" customHeight="1">
      <c r="A173" s="9" t="s">
        <v>226</v>
      </c>
      <c r="B173" s="9" t="s">
        <v>212</v>
      </c>
      <c r="C173" s="10">
        <v>45449.0</v>
      </c>
      <c r="D173" s="10" t="str">
        <f>IF(
  AND(C173 &gt;= 'Campaign Metadata'!J$2, C173 &lt;= 'Campaign Metadata'!H$2),
  'Campaign Metadata'!A$2,
IF(
  AND(C173 &gt;= 'Campaign Metadata'!J$3, C173 &lt;= 'Campaign Metadata'!H$3),
  'Campaign Metadata'!A$3,
IF(
  AND(C173 &gt;= 'Campaign Metadata'!J$4, C173 &lt;= 'Campaign Metadata'!H$4),
  'Campaign Metadata'!A$4,
IF(
  AND(C173 &gt;= 'Campaign Metadata'!J$5, C173 &lt;= 'Campaign Metadata'!H$5),
  'Campaign Metadata'!A$5,
"Outside Campaign"
))))
</f>
        <v>SummerSplash</v>
      </c>
      <c r="E173" s="9" t="s">
        <v>23</v>
      </c>
      <c r="F173" s="9" t="s">
        <v>227</v>
      </c>
      <c r="G173" s="11">
        <v>1436.0</v>
      </c>
      <c r="H173" s="11">
        <v>765.0</v>
      </c>
      <c r="I173" s="11">
        <v>496.0</v>
      </c>
      <c r="J173" s="11">
        <v>12924.0</v>
      </c>
      <c r="K173" s="11">
        <v>12701.0</v>
      </c>
      <c r="L173" s="11">
        <v>197.0</v>
      </c>
      <c r="M173" s="12" t="s">
        <v>38</v>
      </c>
      <c r="N173" s="12" t="s">
        <v>26</v>
      </c>
      <c r="O173" s="12" t="s">
        <v>26</v>
      </c>
      <c r="P173" s="13">
        <v>0.20868152274837512</v>
      </c>
      <c r="Q173" s="14">
        <f t="shared" si="1"/>
        <v>45449</v>
      </c>
      <c r="R173" s="13">
        <f t="shared" si="2"/>
        <v>2697</v>
      </c>
      <c r="S173" s="15" t="str">
        <f t="shared" si="3"/>
        <v>During Campaign</v>
      </c>
      <c r="T173" s="16">
        <f t="shared" si="4"/>
        <v>-5858</v>
      </c>
      <c r="U173" s="15">
        <f t="shared" si="5"/>
        <v>23</v>
      </c>
    </row>
    <row r="174" ht="14.25" customHeight="1">
      <c r="A174" s="9" t="s">
        <v>228</v>
      </c>
      <c r="B174" s="9" t="s">
        <v>212</v>
      </c>
      <c r="C174" s="10">
        <v>45450.0</v>
      </c>
      <c r="D174" s="10" t="str">
        <f>IF(
  AND(C174 &gt;= 'Campaign Metadata'!J$2, C174 &lt;= 'Campaign Metadata'!H$2),
  'Campaign Metadata'!A$2,
IF(
  AND(C174 &gt;= 'Campaign Metadata'!J$3, C174 &lt;= 'Campaign Metadata'!H$3),
  'Campaign Metadata'!A$3,
IF(
  AND(C174 &gt;= 'Campaign Metadata'!J$4, C174 &lt;= 'Campaign Metadata'!H$4),
  'Campaign Metadata'!A$4,
IF(
  AND(C174 &gt;= 'Campaign Metadata'!J$5, C174 &lt;= 'Campaign Metadata'!H$5),
  'Campaign Metadata'!A$5,
"Outside Campaign"
))))
</f>
        <v>SummerSplash</v>
      </c>
      <c r="E174" s="9" t="s">
        <v>47</v>
      </c>
      <c r="F174" s="9" t="s">
        <v>215</v>
      </c>
      <c r="G174" s="11">
        <v>1556.0</v>
      </c>
      <c r="H174" s="11">
        <v>195.0</v>
      </c>
      <c r="I174" s="11">
        <v>131.0</v>
      </c>
      <c r="J174" s="11">
        <v>9336.0</v>
      </c>
      <c r="K174" s="11">
        <v>8875.0</v>
      </c>
      <c r="L174" s="11">
        <v>137.0</v>
      </c>
      <c r="M174" s="12" t="s">
        <v>25</v>
      </c>
      <c r="N174" s="12" t="s">
        <v>26</v>
      </c>
      <c r="O174" s="12" t="s">
        <v>26</v>
      </c>
      <c r="P174" s="13">
        <v>0.2015852613538989</v>
      </c>
      <c r="Q174" s="14">
        <f t="shared" si="1"/>
        <v>45450</v>
      </c>
      <c r="R174" s="13">
        <f t="shared" si="2"/>
        <v>1882</v>
      </c>
      <c r="S174" s="15" t="str">
        <f t="shared" si="3"/>
        <v>During Campaign</v>
      </c>
      <c r="T174" s="16">
        <f t="shared" si="4"/>
        <v>-3826</v>
      </c>
      <c r="U174" s="15">
        <f t="shared" si="5"/>
        <v>23</v>
      </c>
    </row>
    <row r="175" ht="14.25" customHeight="1">
      <c r="A175" s="9" t="s">
        <v>229</v>
      </c>
      <c r="B175" s="9" t="s">
        <v>212</v>
      </c>
      <c r="C175" s="10">
        <v>45549.0</v>
      </c>
      <c r="D175" s="10" t="str">
        <f>IF(
  AND(C175 &gt;= 'Campaign Metadata'!J$2, C175 &lt;= 'Campaign Metadata'!H$2),
  'Campaign Metadata'!A$2,
IF(
  AND(C175 &gt;= 'Campaign Metadata'!J$3, C175 &lt;= 'Campaign Metadata'!H$3),
  'Campaign Metadata'!A$3,
IF(
  AND(C175 &gt;= 'Campaign Metadata'!J$4, C175 &lt;= 'Campaign Metadata'!H$4),
  'Campaign Metadata'!A$4,
IF(
  AND(C175 &gt;= 'Campaign Metadata'!J$5, C175 &lt;= 'Campaign Metadata'!H$5),
  'Campaign Metadata'!A$5,
"Outside Campaign"
))))
</f>
        <v>SummerSplash</v>
      </c>
      <c r="E175" s="9" t="s">
        <v>28</v>
      </c>
      <c r="F175" s="9" t="s">
        <v>217</v>
      </c>
      <c r="G175" s="11">
        <v>1048.0</v>
      </c>
      <c r="H175" s="11">
        <v>374.0</v>
      </c>
      <c r="I175" s="11">
        <v>450.0</v>
      </c>
      <c r="J175" s="11">
        <v>9432.0</v>
      </c>
      <c r="K175" s="11">
        <v>8882.0</v>
      </c>
      <c r="L175" s="11">
        <v>158.0</v>
      </c>
      <c r="M175" s="12" t="s">
        <v>25</v>
      </c>
      <c r="N175" s="12" t="s">
        <v>26</v>
      </c>
      <c r="O175" s="12" t="s">
        <v>26</v>
      </c>
      <c r="P175" s="13">
        <v>0.1984732824427481</v>
      </c>
      <c r="Q175" s="14">
        <f t="shared" si="1"/>
        <v>45549</v>
      </c>
      <c r="R175" s="13">
        <f t="shared" si="2"/>
        <v>1872</v>
      </c>
      <c r="S175" s="15" t="str">
        <f t="shared" si="3"/>
        <v>During Campaign</v>
      </c>
      <c r="T175" s="16">
        <f t="shared" si="4"/>
        <v>7</v>
      </c>
      <c r="U175" s="15">
        <f t="shared" si="5"/>
        <v>37</v>
      </c>
    </row>
    <row r="176" ht="14.25" customHeight="1">
      <c r="A176" s="9" t="s">
        <v>230</v>
      </c>
      <c r="B176" s="9" t="s">
        <v>212</v>
      </c>
      <c r="C176" s="10">
        <v>45504.0</v>
      </c>
      <c r="D176" s="10" t="str">
        <f>IF(
  AND(C176 &gt;= 'Campaign Metadata'!J$2, C176 &lt;= 'Campaign Metadata'!H$2),
  'Campaign Metadata'!A$2,
IF(
  AND(C176 &gt;= 'Campaign Metadata'!J$3, C176 &lt;= 'Campaign Metadata'!H$3),
  'Campaign Metadata'!A$3,
IF(
  AND(C176 &gt;= 'Campaign Metadata'!J$4, C176 &lt;= 'Campaign Metadata'!H$4),
  'Campaign Metadata'!A$4,
IF(
  AND(C176 &gt;= 'Campaign Metadata'!J$5, C176 &lt;= 'Campaign Metadata'!H$5),
  'Campaign Metadata'!A$5,
"Outside Campaign"
))))
</f>
        <v>SummerSplash</v>
      </c>
      <c r="E176" s="9" t="s">
        <v>47</v>
      </c>
      <c r="F176" s="9" t="s">
        <v>215</v>
      </c>
      <c r="G176" s="11">
        <v>2278.0</v>
      </c>
      <c r="H176" s="11">
        <v>10.0</v>
      </c>
      <c r="I176" s="11">
        <v>321.0</v>
      </c>
      <c r="J176" s="11">
        <v>13668.0</v>
      </c>
      <c r="K176" s="11">
        <v>12676.0</v>
      </c>
      <c r="L176" s="11">
        <v>275.0</v>
      </c>
      <c r="M176" s="12" t="s">
        <v>33</v>
      </c>
      <c r="N176" s="12" t="s">
        <v>26</v>
      </c>
      <c r="O176" s="12" t="s">
        <v>26</v>
      </c>
      <c r="P176" s="13">
        <v>0.1908838162130524</v>
      </c>
      <c r="Q176" s="14">
        <f t="shared" si="1"/>
        <v>45504</v>
      </c>
      <c r="R176" s="13">
        <f t="shared" si="2"/>
        <v>2609</v>
      </c>
      <c r="S176" s="15" t="str">
        <f t="shared" si="3"/>
        <v>During Campaign</v>
      </c>
      <c r="T176" s="16">
        <f t="shared" si="4"/>
        <v>3794</v>
      </c>
      <c r="U176" s="15">
        <f t="shared" si="5"/>
        <v>31</v>
      </c>
    </row>
    <row r="177" ht="14.25" customHeight="1">
      <c r="A177" s="9" t="s">
        <v>231</v>
      </c>
      <c r="B177" s="9" t="s">
        <v>212</v>
      </c>
      <c r="C177" s="10">
        <v>45491.0</v>
      </c>
      <c r="D177" s="10" t="str">
        <f>IF(
  AND(C177 &gt;= 'Campaign Metadata'!J$2, C177 &lt;= 'Campaign Metadata'!H$2),
  'Campaign Metadata'!A$2,
IF(
  AND(C177 &gt;= 'Campaign Metadata'!J$3, C177 &lt;= 'Campaign Metadata'!H$3),
  'Campaign Metadata'!A$3,
IF(
  AND(C177 &gt;= 'Campaign Metadata'!J$4, C177 &lt;= 'Campaign Metadata'!H$4),
  'Campaign Metadata'!A$4,
IF(
  AND(C177 &gt;= 'Campaign Metadata'!J$5, C177 &lt;= 'Campaign Metadata'!H$5),
  'Campaign Metadata'!A$5,
"Outside Campaign"
))))
</f>
        <v>SummerSplash</v>
      </c>
      <c r="E177" s="9" t="s">
        <v>47</v>
      </c>
      <c r="F177" s="9" t="s">
        <v>215</v>
      </c>
      <c r="G177" s="11">
        <v>2120.0</v>
      </c>
      <c r="H177" s="11">
        <v>38.0</v>
      </c>
      <c r="I177" s="11">
        <v>212.0</v>
      </c>
      <c r="J177" s="11">
        <v>12720.0</v>
      </c>
      <c r="K177" s="11">
        <v>12564.0</v>
      </c>
      <c r="L177" s="11">
        <v>21.0</v>
      </c>
      <c r="M177" s="12" t="s">
        <v>38</v>
      </c>
      <c r="N177" s="12" t="s">
        <v>26</v>
      </c>
      <c r="O177" s="12" t="s">
        <v>26</v>
      </c>
      <c r="P177" s="13">
        <v>0.18632075471698112</v>
      </c>
      <c r="Q177" s="14">
        <f t="shared" si="1"/>
        <v>45491</v>
      </c>
      <c r="R177" s="13">
        <f t="shared" si="2"/>
        <v>2370</v>
      </c>
      <c r="S177" s="15" t="str">
        <f t="shared" si="3"/>
        <v>During Campaign</v>
      </c>
      <c r="T177" s="16">
        <f t="shared" si="4"/>
        <v>-112</v>
      </c>
      <c r="U177" s="15">
        <f t="shared" si="5"/>
        <v>29</v>
      </c>
    </row>
    <row r="178" ht="14.25" customHeight="1">
      <c r="A178" s="9" t="s">
        <v>232</v>
      </c>
      <c r="B178" s="9" t="s">
        <v>212</v>
      </c>
      <c r="C178" s="10">
        <v>45658.0</v>
      </c>
      <c r="D178" s="10" t="str">
        <f>IF(
  AND(C178 &gt;= 'Campaign Metadata'!J$2, C178 &lt;= 'Campaign Metadata'!H$2),
  'Campaign Metadata'!A$2,
IF(
  AND(C178 &gt;= 'Campaign Metadata'!J$3, C178 &lt;= 'Campaign Metadata'!H$3),
  'Campaign Metadata'!A$3,
IF(
  AND(C178 &gt;= 'Campaign Metadata'!J$4, C178 &lt;= 'Campaign Metadata'!H$4),
  'Campaign Metadata'!A$4,
IF(
  AND(C178 &gt;= 'Campaign Metadata'!J$5, C178 &lt;= 'Campaign Metadata'!H$5),
  'Campaign Metadata'!A$5,
"Outside Campaign"
))))
</f>
        <v>NewYearRefresh</v>
      </c>
      <c r="E178" s="9" t="s">
        <v>23</v>
      </c>
      <c r="F178" s="9" t="s">
        <v>227</v>
      </c>
      <c r="G178" s="11">
        <v>754.0</v>
      </c>
      <c r="H178" s="11">
        <v>197.0</v>
      </c>
      <c r="I178" s="11">
        <v>257.0</v>
      </c>
      <c r="J178" s="11">
        <v>6786.0</v>
      </c>
      <c r="K178" s="11">
        <v>6221.0</v>
      </c>
      <c r="L178" s="11">
        <v>212.0</v>
      </c>
      <c r="M178" s="12" t="s">
        <v>25</v>
      </c>
      <c r="N178" s="12" t="s">
        <v>26</v>
      </c>
      <c r="O178" s="12" t="s">
        <v>26</v>
      </c>
      <c r="P178" s="13">
        <v>0.17801355732390214</v>
      </c>
      <c r="Q178" s="14">
        <f t="shared" si="1"/>
        <v>45658</v>
      </c>
      <c r="R178" s="13">
        <f t="shared" si="2"/>
        <v>1208</v>
      </c>
      <c r="S178" s="15" t="str">
        <f t="shared" si="3"/>
        <v>During Campaign</v>
      </c>
      <c r="T178" s="16">
        <f t="shared" si="4"/>
        <v>-6343</v>
      </c>
      <c r="U178" s="15">
        <f t="shared" si="5"/>
        <v>1</v>
      </c>
    </row>
    <row r="179" ht="14.25" customHeight="1">
      <c r="A179" s="9" t="s">
        <v>233</v>
      </c>
      <c r="B179" s="9" t="s">
        <v>212</v>
      </c>
      <c r="C179" s="10">
        <v>45570.0</v>
      </c>
      <c r="D179" s="10" t="str">
        <f>IF(
  AND(C179 &gt;= 'Campaign Metadata'!J$2, C179 &lt;= 'Campaign Metadata'!H$2),
  'Campaign Metadata'!A$2,
IF(
  AND(C179 &gt;= 'Campaign Metadata'!J$3, C179 &lt;= 'Campaign Metadata'!H$3),
  'Campaign Metadata'!A$3,
IF(
  AND(C179 &gt;= 'Campaign Metadata'!J$4, C179 &lt;= 'Campaign Metadata'!H$4),
  'Campaign Metadata'!A$4,
IF(
  AND(C179 &gt;= 'Campaign Metadata'!J$5, C179 &lt;= 'Campaign Metadata'!H$5),
  'Campaign Metadata'!A$5,
"Outside Campaign"
))))
</f>
        <v>FestiveRadiance</v>
      </c>
      <c r="E179" s="9" t="s">
        <v>31</v>
      </c>
      <c r="F179" s="9" t="s">
        <v>213</v>
      </c>
      <c r="G179" s="11">
        <v>1957.0</v>
      </c>
      <c r="H179" s="11">
        <v>877.0</v>
      </c>
      <c r="I179" s="11">
        <v>238.0</v>
      </c>
      <c r="J179" s="11">
        <v>17613.0</v>
      </c>
      <c r="K179" s="11">
        <v>16865.0</v>
      </c>
      <c r="L179" s="11">
        <v>297.0</v>
      </c>
      <c r="M179" s="12" t="s">
        <v>38</v>
      </c>
      <c r="N179" s="12" t="s">
        <v>26</v>
      </c>
      <c r="O179" s="12" t="s">
        <v>26</v>
      </c>
      <c r="P179" s="13">
        <v>0.17441662408448305</v>
      </c>
      <c r="Q179" s="14">
        <f t="shared" si="1"/>
        <v>45570</v>
      </c>
      <c r="R179" s="13">
        <f t="shared" si="2"/>
        <v>3072</v>
      </c>
      <c r="S179" s="15" t="str">
        <f t="shared" si="3"/>
        <v>During Campaign</v>
      </c>
      <c r="T179" s="16">
        <f t="shared" si="4"/>
        <v>10644</v>
      </c>
      <c r="U179" s="15">
        <f t="shared" si="5"/>
        <v>40</v>
      </c>
    </row>
    <row r="180" ht="14.25" customHeight="1">
      <c r="A180" s="9" t="s">
        <v>234</v>
      </c>
      <c r="B180" s="9" t="s">
        <v>212</v>
      </c>
      <c r="C180" s="10">
        <v>45494.0</v>
      </c>
      <c r="D180" s="10" t="str">
        <f>IF(
  AND(C180 &gt;= 'Campaign Metadata'!J$2, C180 &lt;= 'Campaign Metadata'!H$2),
  'Campaign Metadata'!A$2,
IF(
  AND(C180 &gt;= 'Campaign Metadata'!J$3, C180 &lt;= 'Campaign Metadata'!H$3),
  'Campaign Metadata'!A$3,
IF(
  AND(C180 &gt;= 'Campaign Metadata'!J$4, C180 &lt;= 'Campaign Metadata'!H$4),
  'Campaign Metadata'!A$4,
IF(
  AND(C180 &gt;= 'Campaign Metadata'!J$5, C180 &lt;= 'Campaign Metadata'!H$5),
  'Campaign Metadata'!A$5,
"Outside Campaign"
))))
</f>
        <v>SummerSplash</v>
      </c>
      <c r="E180" s="9" t="s">
        <v>35</v>
      </c>
      <c r="F180" s="9" t="s">
        <v>224</v>
      </c>
      <c r="G180" s="11">
        <v>2147.0</v>
      </c>
      <c r="H180" s="11">
        <v>430.0</v>
      </c>
      <c r="I180" s="11">
        <v>393.0</v>
      </c>
      <c r="J180" s="11">
        <v>17176.0</v>
      </c>
      <c r="K180" s="11">
        <v>16483.0</v>
      </c>
      <c r="L180" s="11">
        <v>170.0</v>
      </c>
      <c r="M180" s="12" t="s">
        <v>25</v>
      </c>
      <c r="N180" s="12" t="s">
        <v>26</v>
      </c>
      <c r="O180" s="12" t="s">
        <v>26</v>
      </c>
      <c r="P180" s="13">
        <v>0.17291569632044715</v>
      </c>
      <c r="Q180" s="14">
        <f t="shared" si="1"/>
        <v>45494</v>
      </c>
      <c r="R180" s="13">
        <f t="shared" si="2"/>
        <v>2970</v>
      </c>
      <c r="S180" s="15" t="str">
        <f t="shared" si="3"/>
        <v>During Campaign</v>
      </c>
      <c r="T180" s="16">
        <f t="shared" si="4"/>
        <v>-382</v>
      </c>
      <c r="U180" s="15">
        <f t="shared" si="5"/>
        <v>29</v>
      </c>
    </row>
    <row r="181" ht="14.25" customHeight="1">
      <c r="A181" s="9" t="s">
        <v>235</v>
      </c>
      <c r="B181" s="9" t="s">
        <v>212</v>
      </c>
      <c r="C181" s="10">
        <v>45779.0</v>
      </c>
      <c r="D181" s="10" t="str">
        <f>IF(
  AND(C181 &gt;= 'Campaign Metadata'!J$2, C181 &lt;= 'Campaign Metadata'!H$2),
  'Campaign Metadata'!A$2,
IF(
  AND(C181 &gt;= 'Campaign Metadata'!J$3, C181 &lt;= 'Campaign Metadata'!H$3),
  'Campaign Metadata'!A$3,
IF(
  AND(C181 &gt;= 'Campaign Metadata'!J$4, C181 &lt;= 'Campaign Metadata'!H$4),
  'Campaign Metadata'!A$4,
IF(
  AND(C181 &gt;= 'Campaign Metadata'!J$5, C181 &lt;= 'Campaign Metadata'!H$5),
  'Campaign Metadata'!A$5,
"Outside Campaign"
))))
</f>
        <v>Outside Campaign</v>
      </c>
      <c r="E181" s="9" t="s">
        <v>23</v>
      </c>
      <c r="F181" s="9" t="s">
        <v>227</v>
      </c>
      <c r="G181" s="11">
        <v>1108.0</v>
      </c>
      <c r="H181" s="11">
        <v>177.0</v>
      </c>
      <c r="I181" s="11">
        <v>212.0</v>
      </c>
      <c r="J181" s="11">
        <v>8864.0</v>
      </c>
      <c r="K181" s="11">
        <v>8710.0</v>
      </c>
      <c r="L181" s="11">
        <v>97.0</v>
      </c>
      <c r="M181" s="12" t="s">
        <v>25</v>
      </c>
      <c r="N181" s="12" t="s">
        <v>26</v>
      </c>
      <c r="O181" s="12" t="s">
        <v>26</v>
      </c>
      <c r="P181" s="13">
        <v>0.16888537906137185</v>
      </c>
      <c r="Q181" s="14">
        <f t="shared" si="1"/>
        <v>45779</v>
      </c>
      <c r="R181" s="13">
        <f t="shared" si="2"/>
        <v>1497</v>
      </c>
      <c r="S181" s="15" t="str">
        <f t="shared" si="3"/>
        <v>Before Campaign</v>
      </c>
      <c r="T181" s="16">
        <f t="shared" si="4"/>
        <v>-7773</v>
      </c>
      <c r="U181" s="15">
        <f t="shared" si="5"/>
        <v>18</v>
      </c>
    </row>
    <row r="182" ht="14.25" customHeight="1">
      <c r="A182" s="9" t="s">
        <v>236</v>
      </c>
      <c r="B182" s="9" t="s">
        <v>212</v>
      </c>
      <c r="C182" s="10">
        <v>45667.0</v>
      </c>
      <c r="D182" s="10" t="str">
        <f>IF(
  AND(C182 &gt;= 'Campaign Metadata'!J$2, C182 &lt;= 'Campaign Metadata'!H$2),
  'Campaign Metadata'!A$2,
IF(
  AND(C182 &gt;= 'Campaign Metadata'!J$3, C182 &lt;= 'Campaign Metadata'!H$3),
  'Campaign Metadata'!A$3,
IF(
  AND(C182 &gt;= 'Campaign Metadata'!J$4, C182 &lt;= 'Campaign Metadata'!H$4),
  'Campaign Metadata'!A$4,
IF(
  AND(C182 &gt;= 'Campaign Metadata'!J$5, C182 &lt;= 'Campaign Metadata'!H$5),
  'Campaign Metadata'!A$5,
"Outside Campaign"
))))
</f>
        <v>NewYearRefresh</v>
      </c>
      <c r="E182" s="9" t="s">
        <v>28</v>
      </c>
      <c r="F182" s="9" t="s">
        <v>217</v>
      </c>
      <c r="G182" s="11">
        <v>2214.0</v>
      </c>
      <c r="H182" s="11">
        <v>249.0</v>
      </c>
      <c r="I182" s="11">
        <v>152.0</v>
      </c>
      <c r="J182" s="11">
        <v>15498.0</v>
      </c>
      <c r="K182" s="11">
        <v>14800.0</v>
      </c>
      <c r="L182" s="11">
        <v>180.0</v>
      </c>
      <c r="M182" s="12" t="s">
        <v>33</v>
      </c>
      <c r="N182" s="12" t="s">
        <v>26</v>
      </c>
      <c r="O182" s="12" t="s">
        <v>26</v>
      </c>
      <c r="P182" s="13">
        <v>0.1687314492192541</v>
      </c>
      <c r="Q182" s="14">
        <f t="shared" si="1"/>
        <v>45667</v>
      </c>
      <c r="R182" s="13">
        <f t="shared" si="2"/>
        <v>2615</v>
      </c>
      <c r="S182" s="15" t="str">
        <f t="shared" si="3"/>
        <v>During Campaign</v>
      </c>
      <c r="T182" s="16">
        <f t="shared" si="4"/>
        <v>6090</v>
      </c>
      <c r="U182" s="15">
        <f t="shared" si="5"/>
        <v>2</v>
      </c>
    </row>
    <row r="183" ht="14.25" customHeight="1">
      <c r="A183" s="9" t="s">
        <v>237</v>
      </c>
      <c r="B183" s="9" t="s">
        <v>212</v>
      </c>
      <c r="C183" s="10">
        <v>45512.0</v>
      </c>
      <c r="D183" s="10" t="str">
        <f>IF(
  AND(C183 &gt;= 'Campaign Metadata'!J$2, C183 &lt;= 'Campaign Metadata'!H$2),
  'Campaign Metadata'!A$2,
IF(
  AND(C183 &gt;= 'Campaign Metadata'!J$3, C183 &lt;= 'Campaign Metadata'!H$3),
  'Campaign Metadata'!A$3,
IF(
  AND(C183 &gt;= 'Campaign Metadata'!J$4, C183 &lt;= 'Campaign Metadata'!H$4),
  'Campaign Metadata'!A$4,
IF(
  AND(C183 &gt;= 'Campaign Metadata'!J$5, C183 &lt;= 'Campaign Metadata'!H$5),
  'Campaign Metadata'!A$5,
"Outside Campaign"
))))
</f>
        <v>SummerSplash</v>
      </c>
      <c r="E183" s="9" t="s">
        <v>31</v>
      </c>
      <c r="F183" s="9" t="s">
        <v>213</v>
      </c>
      <c r="G183" s="11">
        <v>3649.0</v>
      </c>
      <c r="H183" s="11">
        <v>215.0</v>
      </c>
      <c r="I183" s="11">
        <v>413.0</v>
      </c>
      <c r="J183" s="11">
        <v>25543.0</v>
      </c>
      <c r="K183" s="11">
        <v>24963.0</v>
      </c>
      <c r="L183" s="11">
        <v>167.0</v>
      </c>
      <c r="M183" s="12" t="s">
        <v>38</v>
      </c>
      <c r="N183" s="12" t="s">
        <v>26</v>
      </c>
      <c r="O183" s="12" t="s">
        <v>26</v>
      </c>
      <c r="P183" s="13">
        <v>0.16744313510550835</v>
      </c>
      <c r="Q183" s="14">
        <f t="shared" si="1"/>
        <v>45512</v>
      </c>
      <c r="R183" s="13">
        <f t="shared" si="2"/>
        <v>4277</v>
      </c>
      <c r="S183" s="15" t="str">
        <f t="shared" si="3"/>
        <v>During Campaign</v>
      </c>
      <c r="T183" s="16">
        <f t="shared" si="4"/>
        <v>10163</v>
      </c>
      <c r="U183" s="15">
        <f t="shared" si="5"/>
        <v>32</v>
      </c>
    </row>
    <row r="184" ht="14.25" customHeight="1">
      <c r="A184" s="9" t="s">
        <v>238</v>
      </c>
      <c r="B184" s="9" t="s">
        <v>212</v>
      </c>
      <c r="C184" s="10">
        <v>45712.0</v>
      </c>
      <c r="D184" s="10" t="str">
        <f>IF(
  AND(C184 &gt;= 'Campaign Metadata'!J$2, C184 &lt;= 'Campaign Metadata'!H$2),
  'Campaign Metadata'!A$2,
IF(
  AND(C184 &gt;= 'Campaign Metadata'!J$3, C184 &lt;= 'Campaign Metadata'!H$3),
  'Campaign Metadata'!A$3,
IF(
  AND(C184 &gt;= 'Campaign Metadata'!J$4, C184 &lt;= 'Campaign Metadata'!H$4),
  'Campaign Metadata'!A$4,
IF(
  AND(C184 &gt;= 'Campaign Metadata'!J$5, C184 &lt;= 'Campaign Metadata'!H$5),
  'Campaign Metadata'!A$5,
"Outside Campaign"
))))
</f>
        <v>NewYearRefresh</v>
      </c>
      <c r="E184" s="9" t="s">
        <v>47</v>
      </c>
      <c r="F184" s="9" t="s">
        <v>215</v>
      </c>
      <c r="G184" s="11">
        <v>2704.0</v>
      </c>
      <c r="H184" s="11">
        <v>752.0</v>
      </c>
      <c r="I184" s="11">
        <v>153.0</v>
      </c>
      <c r="J184" s="11">
        <v>21632.0</v>
      </c>
      <c r="K184" s="11">
        <v>20792.0</v>
      </c>
      <c r="L184" s="11">
        <v>127.0</v>
      </c>
      <c r="M184" s="12" t="s">
        <v>38</v>
      </c>
      <c r="N184" s="12" t="s">
        <v>26</v>
      </c>
      <c r="O184" s="12" t="s">
        <v>26</v>
      </c>
      <c r="P184" s="13">
        <v>0.16683616863905326</v>
      </c>
      <c r="Q184" s="14">
        <f t="shared" si="1"/>
        <v>45712</v>
      </c>
      <c r="R184" s="13">
        <f t="shared" si="2"/>
        <v>3609</v>
      </c>
      <c r="S184" s="15" t="str">
        <f t="shared" si="3"/>
        <v>During Campaign</v>
      </c>
      <c r="T184" s="16">
        <f t="shared" si="4"/>
        <v>-4171</v>
      </c>
      <c r="U184" s="15">
        <f t="shared" si="5"/>
        <v>9</v>
      </c>
    </row>
    <row r="185" ht="14.25" customHeight="1">
      <c r="A185" s="9" t="s">
        <v>239</v>
      </c>
      <c r="B185" s="9" t="s">
        <v>212</v>
      </c>
      <c r="C185" s="10">
        <v>45783.0</v>
      </c>
      <c r="D185" s="10" t="str">
        <f>IF(
  AND(C185 &gt;= 'Campaign Metadata'!J$2, C185 &lt;= 'Campaign Metadata'!H$2),
  'Campaign Metadata'!A$2,
IF(
  AND(C185 &gt;= 'Campaign Metadata'!J$3, C185 &lt;= 'Campaign Metadata'!H$3),
  'Campaign Metadata'!A$3,
IF(
  AND(C185 &gt;= 'Campaign Metadata'!J$4, C185 &lt;= 'Campaign Metadata'!H$4),
  'Campaign Metadata'!A$4,
IF(
  AND(C185 &gt;= 'Campaign Metadata'!J$5, C185 &lt;= 'Campaign Metadata'!H$5),
  'Campaign Metadata'!A$5,
"Outside Campaign"
))))
</f>
        <v>Outside Campaign</v>
      </c>
      <c r="E185" s="9" t="s">
        <v>28</v>
      </c>
      <c r="F185" s="9" t="s">
        <v>217</v>
      </c>
      <c r="G185" s="11">
        <v>1952.0</v>
      </c>
      <c r="H185" s="11">
        <v>344.0</v>
      </c>
      <c r="I185" s="11">
        <v>287.0</v>
      </c>
      <c r="J185" s="11">
        <v>15616.0</v>
      </c>
      <c r="K185" s="11">
        <v>15403.0</v>
      </c>
      <c r="L185" s="11">
        <v>235.0</v>
      </c>
      <c r="M185" s="12" t="s">
        <v>38</v>
      </c>
      <c r="N185" s="12" t="s">
        <v>25</v>
      </c>
      <c r="O185" s="12" t="s">
        <v>67</v>
      </c>
      <c r="P185" s="13">
        <v>0.16540727459016394</v>
      </c>
      <c r="Q185" s="14">
        <f t="shared" si="1"/>
        <v>45783</v>
      </c>
      <c r="R185" s="13">
        <f t="shared" si="2"/>
        <v>2583</v>
      </c>
      <c r="S185" s="15" t="str">
        <f t="shared" si="3"/>
        <v>Before Campaign</v>
      </c>
      <c r="T185" s="16">
        <f t="shared" si="4"/>
        <v>-5389</v>
      </c>
      <c r="U185" s="15">
        <f t="shared" si="5"/>
        <v>19</v>
      </c>
    </row>
    <row r="186" ht="14.25" customHeight="1">
      <c r="A186" s="9" t="s">
        <v>240</v>
      </c>
      <c r="B186" s="9" t="s">
        <v>212</v>
      </c>
      <c r="C186" s="10">
        <v>45745.0</v>
      </c>
      <c r="D186" s="10" t="str">
        <f>IF(
  AND(C186 &gt;= 'Campaign Metadata'!J$2, C186 &lt;= 'Campaign Metadata'!H$2),
  'Campaign Metadata'!A$2,
IF(
  AND(C186 &gt;= 'Campaign Metadata'!J$3, C186 &lt;= 'Campaign Metadata'!H$3),
  'Campaign Metadata'!A$3,
IF(
  AND(C186 &gt;= 'Campaign Metadata'!J$4, C186 &lt;= 'Campaign Metadata'!H$4),
  'Campaign Metadata'!A$4,
IF(
  AND(C186 &gt;= 'Campaign Metadata'!J$5, C186 &lt;= 'Campaign Metadata'!H$5),
  'Campaign Metadata'!A$5,
"Outside Campaign"
))))
</f>
        <v>Outside Campaign</v>
      </c>
      <c r="E186" s="9" t="s">
        <v>28</v>
      </c>
      <c r="F186" s="9" t="s">
        <v>217</v>
      </c>
      <c r="G186" s="11">
        <v>305.0</v>
      </c>
      <c r="H186" s="11">
        <v>187.0</v>
      </c>
      <c r="I186" s="11">
        <v>243.0</v>
      </c>
      <c r="J186" s="11">
        <v>4575.0</v>
      </c>
      <c r="K186" s="11">
        <v>3704.0</v>
      </c>
      <c r="L186" s="11">
        <v>234.0</v>
      </c>
      <c r="M186" s="12" t="s">
        <v>38</v>
      </c>
      <c r="N186" s="12" t="s">
        <v>26</v>
      </c>
      <c r="O186" s="12" t="s">
        <v>26</v>
      </c>
      <c r="P186" s="13">
        <v>0.16065573770491803</v>
      </c>
      <c r="Q186" s="14">
        <f t="shared" si="1"/>
        <v>45745</v>
      </c>
      <c r="R186" s="13">
        <f t="shared" si="2"/>
        <v>735</v>
      </c>
      <c r="S186" s="15" t="str">
        <f t="shared" si="3"/>
        <v>Before Campaign</v>
      </c>
      <c r="T186" s="16">
        <f t="shared" si="4"/>
        <v>-11699</v>
      </c>
      <c r="U186" s="15">
        <f t="shared" si="5"/>
        <v>13</v>
      </c>
    </row>
    <row r="187" ht="14.25" customHeight="1">
      <c r="A187" s="9" t="s">
        <v>241</v>
      </c>
      <c r="B187" s="9" t="s">
        <v>212</v>
      </c>
      <c r="C187" s="10">
        <v>45637.0</v>
      </c>
      <c r="D187" s="10" t="str">
        <f>IF(
  AND(C187 &gt;= 'Campaign Metadata'!J$2, C187 &lt;= 'Campaign Metadata'!H$2),
  'Campaign Metadata'!A$2,
IF(
  AND(C187 &gt;= 'Campaign Metadata'!J$3, C187 &lt;= 'Campaign Metadata'!H$3),
  'Campaign Metadata'!A$3,
IF(
  AND(C187 &gt;= 'Campaign Metadata'!J$4, C187 &lt;= 'Campaign Metadata'!H$4),
  'Campaign Metadata'!A$4,
IF(
  AND(C187 &gt;= 'Campaign Metadata'!J$5, C187 &lt;= 'Campaign Metadata'!H$5),
  'Campaign Metadata'!A$5,
"Outside Campaign"
))))
</f>
        <v>FestiveRadiance</v>
      </c>
      <c r="E187" s="9" t="s">
        <v>35</v>
      </c>
      <c r="F187" s="9" t="s">
        <v>224</v>
      </c>
      <c r="G187" s="11">
        <v>3239.0</v>
      </c>
      <c r="H187" s="11">
        <v>43.0</v>
      </c>
      <c r="I187" s="11">
        <v>211.0</v>
      </c>
      <c r="J187" s="11">
        <v>22673.0</v>
      </c>
      <c r="K187" s="11">
        <v>22171.0</v>
      </c>
      <c r="L187" s="11">
        <v>230.0</v>
      </c>
      <c r="M187" s="12" t="s">
        <v>25</v>
      </c>
      <c r="N187" s="12" t="s">
        <v>26</v>
      </c>
      <c r="O187" s="12" t="s">
        <v>26</v>
      </c>
      <c r="P187" s="13">
        <v>0.15405989502933004</v>
      </c>
      <c r="Q187" s="14">
        <f t="shared" si="1"/>
        <v>45637</v>
      </c>
      <c r="R187" s="13">
        <f t="shared" si="2"/>
        <v>3493</v>
      </c>
      <c r="S187" s="15" t="str">
        <f t="shared" si="3"/>
        <v>During Campaign</v>
      </c>
      <c r="T187" s="16">
        <f t="shared" si="4"/>
        <v>18467</v>
      </c>
      <c r="U187" s="15">
        <f t="shared" si="5"/>
        <v>50</v>
      </c>
    </row>
    <row r="188" ht="14.25" customHeight="1">
      <c r="A188" s="9" t="s">
        <v>242</v>
      </c>
      <c r="B188" s="9" t="s">
        <v>212</v>
      </c>
      <c r="C188" s="10">
        <v>45631.0</v>
      </c>
      <c r="D188" s="10" t="str">
        <f>IF(
  AND(C188 &gt;= 'Campaign Metadata'!J$2, C188 &lt;= 'Campaign Metadata'!H$2),
  'Campaign Metadata'!A$2,
IF(
  AND(C188 &gt;= 'Campaign Metadata'!J$3, C188 &lt;= 'Campaign Metadata'!H$3),
  'Campaign Metadata'!A$3,
IF(
  AND(C188 &gt;= 'Campaign Metadata'!J$4, C188 &lt;= 'Campaign Metadata'!H$4),
  'Campaign Metadata'!A$4,
IF(
  AND(C188 &gt;= 'Campaign Metadata'!J$5, C188 &lt;= 'Campaign Metadata'!H$5),
  'Campaign Metadata'!A$5,
"Outside Campaign"
))))
</f>
        <v>FestiveRadiance</v>
      </c>
      <c r="E188" s="9" t="s">
        <v>23</v>
      </c>
      <c r="F188" s="9" t="s">
        <v>227</v>
      </c>
      <c r="G188" s="11">
        <v>1330.0</v>
      </c>
      <c r="H188" s="11">
        <v>925.0</v>
      </c>
      <c r="I188" s="11">
        <v>35.0</v>
      </c>
      <c r="J188" s="11">
        <v>15960.0</v>
      </c>
      <c r="K188" s="11">
        <v>15379.0</v>
      </c>
      <c r="L188" s="11">
        <v>229.0</v>
      </c>
      <c r="M188" s="12" t="s">
        <v>38</v>
      </c>
      <c r="N188" s="12" t="s">
        <v>26</v>
      </c>
      <c r="O188" s="12" t="s">
        <v>26</v>
      </c>
      <c r="P188" s="13">
        <v>0.14348370927318296</v>
      </c>
      <c r="Q188" s="14">
        <f t="shared" si="1"/>
        <v>45631</v>
      </c>
      <c r="R188" s="13">
        <f t="shared" si="2"/>
        <v>2290</v>
      </c>
      <c r="S188" s="15" t="str">
        <f t="shared" si="3"/>
        <v>During Campaign</v>
      </c>
      <c r="T188" s="16">
        <f t="shared" si="4"/>
        <v>-6792</v>
      </c>
      <c r="U188" s="15">
        <f t="shared" si="5"/>
        <v>49</v>
      </c>
    </row>
    <row r="189" ht="14.25" customHeight="1">
      <c r="A189" s="9" t="s">
        <v>243</v>
      </c>
      <c r="B189" s="9" t="s">
        <v>212</v>
      </c>
      <c r="C189" s="10">
        <v>45704.0</v>
      </c>
      <c r="D189" s="10" t="str">
        <f>IF(
  AND(C189 &gt;= 'Campaign Metadata'!J$2, C189 &lt;= 'Campaign Metadata'!H$2),
  'Campaign Metadata'!A$2,
IF(
  AND(C189 &gt;= 'Campaign Metadata'!J$3, C189 &lt;= 'Campaign Metadata'!H$3),
  'Campaign Metadata'!A$3,
IF(
  AND(C189 &gt;= 'Campaign Metadata'!J$4, C189 &lt;= 'Campaign Metadata'!H$4),
  'Campaign Metadata'!A$4,
IF(
  AND(C189 &gt;= 'Campaign Metadata'!J$5, C189 &lt;= 'Campaign Metadata'!H$5),
  'Campaign Metadata'!A$5,
"Outside Campaign"
))))
</f>
        <v>NewYearRefresh</v>
      </c>
      <c r="E189" s="9" t="s">
        <v>50</v>
      </c>
      <c r="F189" s="9" t="s">
        <v>219</v>
      </c>
      <c r="G189" s="11">
        <v>1076.0</v>
      </c>
      <c r="H189" s="11">
        <v>313.0</v>
      </c>
      <c r="I189" s="11">
        <v>306.0</v>
      </c>
      <c r="J189" s="11">
        <v>11836.0</v>
      </c>
      <c r="K189" s="11">
        <v>11596.0</v>
      </c>
      <c r="L189" s="11">
        <v>104.0</v>
      </c>
      <c r="M189" s="12" t="s">
        <v>38</v>
      </c>
      <c r="N189" s="12" t="s">
        <v>26</v>
      </c>
      <c r="O189" s="12" t="s">
        <v>26</v>
      </c>
      <c r="P189" s="13">
        <v>0.14320716458262928</v>
      </c>
      <c r="Q189" s="14">
        <f t="shared" si="1"/>
        <v>45704</v>
      </c>
      <c r="R189" s="13">
        <f t="shared" si="2"/>
        <v>1695</v>
      </c>
      <c r="S189" s="15" t="str">
        <f t="shared" si="3"/>
        <v>During Campaign</v>
      </c>
      <c r="T189" s="16">
        <f t="shared" si="4"/>
        <v>-3783</v>
      </c>
      <c r="U189" s="15">
        <f t="shared" si="5"/>
        <v>7</v>
      </c>
    </row>
    <row r="190" ht="14.25" customHeight="1">
      <c r="A190" s="9" t="s">
        <v>244</v>
      </c>
      <c r="B190" s="9" t="s">
        <v>212</v>
      </c>
      <c r="C190" s="10">
        <v>45655.0</v>
      </c>
      <c r="D190" s="10" t="str">
        <f>IF(
  AND(C190 &gt;= 'Campaign Metadata'!J$2, C190 &lt;= 'Campaign Metadata'!H$2),
  'Campaign Metadata'!A$2,
IF(
  AND(C190 &gt;= 'Campaign Metadata'!J$3, C190 &lt;= 'Campaign Metadata'!H$3),
  'Campaign Metadata'!A$3,
IF(
  AND(C190 &gt;= 'Campaign Metadata'!J$4, C190 &lt;= 'Campaign Metadata'!H$4),
  'Campaign Metadata'!A$4,
IF(
  AND(C190 &gt;= 'Campaign Metadata'!J$5, C190 &lt;= 'Campaign Metadata'!H$5),
  'Campaign Metadata'!A$5,
"Outside Campaign"
))))
</f>
        <v>NewYearRefresh</v>
      </c>
      <c r="E190" s="9" t="s">
        <v>47</v>
      </c>
      <c r="F190" s="9" t="s">
        <v>215</v>
      </c>
      <c r="G190" s="11">
        <v>4274.0</v>
      </c>
      <c r="H190" s="11">
        <v>340.0</v>
      </c>
      <c r="I190" s="11">
        <v>281.0</v>
      </c>
      <c r="J190" s="11">
        <v>34192.0</v>
      </c>
      <c r="K190" s="11">
        <v>33446.0</v>
      </c>
      <c r="L190" s="11">
        <v>129.0</v>
      </c>
      <c r="M190" s="12" t="s">
        <v>25</v>
      </c>
      <c r="N190" s="12" t="s">
        <v>61</v>
      </c>
      <c r="O190" s="12" t="s">
        <v>26</v>
      </c>
      <c r="P190" s="13">
        <v>0.1431621431913898</v>
      </c>
      <c r="Q190" s="14">
        <f t="shared" si="1"/>
        <v>45655</v>
      </c>
      <c r="R190" s="13">
        <f t="shared" si="2"/>
        <v>4895</v>
      </c>
      <c r="S190" s="15" t="str">
        <f t="shared" si="3"/>
        <v>During Campaign</v>
      </c>
      <c r="T190" s="16">
        <f t="shared" si="4"/>
        <v>21850</v>
      </c>
      <c r="U190" s="15">
        <f t="shared" si="5"/>
        <v>52</v>
      </c>
    </row>
    <row r="191" ht="14.25" customHeight="1">
      <c r="A191" s="9" t="s">
        <v>245</v>
      </c>
      <c r="B191" s="9" t="s">
        <v>212</v>
      </c>
      <c r="C191" s="10">
        <v>45540.0</v>
      </c>
      <c r="D191" s="10" t="str">
        <f>IF(
  AND(C191 &gt;= 'Campaign Metadata'!J$2, C191 &lt;= 'Campaign Metadata'!H$2),
  'Campaign Metadata'!A$2,
IF(
  AND(C191 &gt;= 'Campaign Metadata'!J$3, C191 &lt;= 'Campaign Metadata'!H$3),
  'Campaign Metadata'!A$3,
IF(
  AND(C191 &gt;= 'Campaign Metadata'!J$4, C191 &lt;= 'Campaign Metadata'!H$4),
  'Campaign Metadata'!A$4,
IF(
  AND(C191 &gt;= 'Campaign Metadata'!J$5, C191 &lt;= 'Campaign Metadata'!H$5),
  'Campaign Metadata'!A$5,
"Outside Campaign"
))))
</f>
        <v>SummerSplash</v>
      </c>
      <c r="E191" s="9" t="s">
        <v>23</v>
      </c>
      <c r="F191" s="9" t="s">
        <v>227</v>
      </c>
      <c r="G191" s="11">
        <v>4886.0</v>
      </c>
      <c r="H191" s="11">
        <v>983.0</v>
      </c>
      <c r="I191" s="11">
        <v>409.0</v>
      </c>
      <c r="J191" s="11">
        <v>43974.0</v>
      </c>
      <c r="K191" s="11">
        <v>43239.0</v>
      </c>
      <c r="L191" s="11">
        <v>65.0</v>
      </c>
      <c r="M191" s="12" t="s">
        <v>25</v>
      </c>
      <c r="N191" s="12" t="s">
        <v>26</v>
      </c>
      <c r="O191" s="12" t="s">
        <v>26</v>
      </c>
      <c r="P191" s="13">
        <v>0.14276618001546368</v>
      </c>
      <c r="Q191" s="14">
        <f t="shared" si="1"/>
        <v>45540</v>
      </c>
      <c r="R191" s="13">
        <f t="shared" si="2"/>
        <v>6278</v>
      </c>
      <c r="S191" s="15" t="str">
        <f t="shared" si="3"/>
        <v>During Campaign</v>
      </c>
      <c r="T191" s="16">
        <f t="shared" si="4"/>
        <v>9793</v>
      </c>
      <c r="U191" s="15">
        <f t="shared" si="5"/>
        <v>36</v>
      </c>
    </row>
    <row r="192" ht="14.25" customHeight="1">
      <c r="A192" s="9" t="s">
        <v>246</v>
      </c>
      <c r="B192" s="9" t="s">
        <v>212</v>
      </c>
      <c r="C192" s="10">
        <v>45543.0</v>
      </c>
      <c r="D192" s="10" t="str">
        <f>IF(
  AND(C192 &gt;= 'Campaign Metadata'!J$2, C192 &lt;= 'Campaign Metadata'!H$2),
  'Campaign Metadata'!A$2,
IF(
  AND(C192 &gt;= 'Campaign Metadata'!J$3, C192 &lt;= 'Campaign Metadata'!H$3),
  'Campaign Metadata'!A$3,
IF(
  AND(C192 &gt;= 'Campaign Metadata'!J$4, C192 &lt;= 'Campaign Metadata'!H$4),
  'Campaign Metadata'!A$4,
IF(
  AND(C192 &gt;= 'Campaign Metadata'!J$5, C192 &lt;= 'Campaign Metadata'!H$5),
  'Campaign Metadata'!A$5,
"Outside Campaign"
))))
</f>
        <v>SummerSplash</v>
      </c>
      <c r="E192" s="9" t="s">
        <v>47</v>
      </c>
      <c r="F192" s="9" t="s">
        <v>215</v>
      </c>
      <c r="G192" s="11">
        <v>3811.0</v>
      </c>
      <c r="H192" s="11">
        <v>866.0</v>
      </c>
      <c r="I192" s="11">
        <v>216.0</v>
      </c>
      <c r="J192" s="11">
        <v>34299.0</v>
      </c>
      <c r="K192" s="11">
        <v>34088.0</v>
      </c>
      <c r="L192" s="11">
        <v>233.0</v>
      </c>
      <c r="M192" s="12" t="s">
        <v>25</v>
      </c>
      <c r="N192" s="12" t="s">
        <v>26</v>
      </c>
      <c r="O192" s="12" t="s">
        <v>26</v>
      </c>
      <c r="P192" s="13">
        <v>0.14265722032712325</v>
      </c>
      <c r="Q192" s="14">
        <f t="shared" si="1"/>
        <v>45543</v>
      </c>
      <c r="R192" s="13">
        <f t="shared" si="2"/>
        <v>4893</v>
      </c>
      <c r="S192" s="15" t="str">
        <f t="shared" si="3"/>
        <v>During Campaign</v>
      </c>
      <c r="T192" s="16">
        <f t="shared" si="4"/>
        <v>-9151</v>
      </c>
      <c r="U192" s="15">
        <f t="shared" si="5"/>
        <v>36</v>
      </c>
    </row>
    <row r="193" ht="14.25" customHeight="1">
      <c r="A193" s="9" t="s">
        <v>247</v>
      </c>
      <c r="B193" s="9" t="s">
        <v>212</v>
      </c>
      <c r="C193" s="10">
        <v>45723.0</v>
      </c>
      <c r="D193" s="10" t="str">
        <f>IF(
  AND(C193 &gt;= 'Campaign Metadata'!J$2, C193 &lt;= 'Campaign Metadata'!H$2),
  'Campaign Metadata'!A$2,
IF(
  AND(C193 &gt;= 'Campaign Metadata'!J$3, C193 &lt;= 'Campaign Metadata'!H$3),
  'Campaign Metadata'!A$3,
IF(
  AND(C193 &gt;= 'Campaign Metadata'!J$4, C193 &lt;= 'Campaign Metadata'!H$4),
  'Campaign Metadata'!A$4,
IF(
  AND(C193 &gt;= 'Campaign Metadata'!J$5, C193 &lt;= 'Campaign Metadata'!H$5),
  'Campaign Metadata'!A$5,
"Outside Campaign"
))))
</f>
        <v>Outside Campaign</v>
      </c>
      <c r="E193" s="9" t="s">
        <v>28</v>
      </c>
      <c r="F193" s="9" t="s">
        <v>217</v>
      </c>
      <c r="G193" s="11">
        <v>4750.0</v>
      </c>
      <c r="H193" s="11">
        <v>151.0</v>
      </c>
      <c r="I193" s="11">
        <v>415.0</v>
      </c>
      <c r="J193" s="11">
        <v>38000.0</v>
      </c>
      <c r="K193" s="11">
        <v>37792.0</v>
      </c>
      <c r="L193" s="11">
        <v>299.0</v>
      </c>
      <c r="M193" s="12" t="s">
        <v>33</v>
      </c>
      <c r="N193" s="12" t="s">
        <v>26</v>
      </c>
      <c r="O193" s="12" t="s">
        <v>26</v>
      </c>
      <c r="P193" s="13">
        <v>0.13989473684210527</v>
      </c>
      <c r="Q193" s="14">
        <f t="shared" si="1"/>
        <v>45723</v>
      </c>
      <c r="R193" s="13">
        <f t="shared" si="2"/>
        <v>5316</v>
      </c>
      <c r="S193" s="15" t="str">
        <f t="shared" si="3"/>
        <v>Before Campaign</v>
      </c>
      <c r="T193" s="16">
        <f t="shared" si="4"/>
        <v>3704</v>
      </c>
      <c r="U193" s="15">
        <f t="shared" si="5"/>
        <v>10</v>
      </c>
    </row>
    <row r="194" ht="14.25" customHeight="1">
      <c r="A194" s="9" t="s">
        <v>248</v>
      </c>
      <c r="B194" s="9" t="s">
        <v>212</v>
      </c>
      <c r="C194" s="10">
        <v>45501.0</v>
      </c>
      <c r="D194" s="10" t="str">
        <f>IF(
  AND(C194 &gt;= 'Campaign Metadata'!J$2, C194 &lt;= 'Campaign Metadata'!H$2),
  'Campaign Metadata'!A$2,
IF(
  AND(C194 &gt;= 'Campaign Metadata'!J$3, C194 &lt;= 'Campaign Metadata'!H$3),
  'Campaign Metadata'!A$3,
IF(
  AND(C194 &gt;= 'Campaign Metadata'!J$4, C194 &lt;= 'Campaign Metadata'!H$4),
  'Campaign Metadata'!A$4,
IF(
  AND(C194 &gt;= 'Campaign Metadata'!J$5, C194 &lt;= 'Campaign Metadata'!H$5),
  'Campaign Metadata'!A$5,
"Outside Campaign"
))))
</f>
        <v>SummerSplash</v>
      </c>
      <c r="E194" s="9" t="s">
        <v>28</v>
      </c>
      <c r="F194" s="9" t="s">
        <v>217</v>
      </c>
      <c r="G194" s="11">
        <v>3215.0</v>
      </c>
      <c r="H194" s="11">
        <v>960.0</v>
      </c>
      <c r="I194" s="11">
        <v>202.0</v>
      </c>
      <c r="J194" s="11">
        <v>32150.0</v>
      </c>
      <c r="K194" s="11">
        <v>31404.0</v>
      </c>
      <c r="L194" s="11">
        <v>251.0</v>
      </c>
      <c r="M194" s="12" t="s">
        <v>33</v>
      </c>
      <c r="N194" s="12" t="s">
        <v>26</v>
      </c>
      <c r="O194" s="12" t="s">
        <v>26</v>
      </c>
      <c r="P194" s="13">
        <v>0.13614307931570763</v>
      </c>
      <c r="Q194" s="14">
        <f t="shared" si="1"/>
        <v>45501</v>
      </c>
      <c r="R194" s="13">
        <f t="shared" si="2"/>
        <v>4377</v>
      </c>
      <c r="S194" s="15" t="str">
        <f t="shared" si="3"/>
        <v>During Campaign</v>
      </c>
      <c r="T194" s="16">
        <f t="shared" si="4"/>
        <v>-6388</v>
      </c>
      <c r="U194" s="15">
        <f t="shared" si="5"/>
        <v>30</v>
      </c>
    </row>
    <row r="195" ht="14.25" customHeight="1">
      <c r="A195" s="9" t="s">
        <v>249</v>
      </c>
      <c r="B195" s="9" t="s">
        <v>212</v>
      </c>
      <c r="C195" s="10">
        <v>45586.0</v>
      </c>
      <c r="D195" s="10" t="str">
        <f>IF(
  AND(C195 &gt;= 'Campaign Metadata'!J$2, C195 &lt;= 'Campaign Metadata'!H$2),
  'Campaign Metadata'!A$2,
IF(
  AND(C195 &gt;= 'Campaign Metadata'!J$3, C195 &lt;= 'Campaign Metadata'!H$3),
  'Campaign Metadata'!A$3,
IF(
  AND(C195 &gt;= 'Campaign Metadata'!J$4, C195 &lt;= 'Campaign Metadata'!H$4),
  'Campaign Metadata'!A$4,
IF(
  AND(C195 &gt;= 'Campaign Metadata'!J$5, C195 &lt;= 'Campaign Metadata'!H$5),
  'Campaign Metadata'!A$5,
"Outside Campaign"
))))
</f>
        <v>FestiveRadiance</v>
      </c>
      <c r="E195" s="9" t="s">
        <v>31</v>
      </c>
      <c r="F195" s="9" t="s">
        <v>213</v>
      </c>
      <c r="G195" s="11">
        <v>3801.0</v>
      </c>
      <c r="H195" s="11">
        <v>967.0</v>
      </c>
      <c r="I195" s="11">
        <v>401.0</v>
      </c>
      <c r="J195" s="11">
        <v>38010.0</v>
      </c>
      <c r="K195" s="11">
        <v>37625.0</v>
      </c>
      <c r="L195" s="11">
        <v>236.0</v>
      </c>
      <c r="M195" s="12" t="s">
        <v>38</v>
      </c>
      <c r="N195" s="12" t="s">
        <v>26</v>
      </c>
      <c r="O195" s="12" t="s">
        <v>26</v>
      </c>
      <c r="P195" s="13">
        <v>0.13599052880820836</v>
      </c>
      <c r="Q195" s="14">
        <f t="shared" si="1"/>
        <v>45586</v>
      </c>
      <c r="R195" s="13">
        <f t="shared" si="2"/>
        <v>5169</v>
      </c>
      <c r="S195" s="15" t="str">
        <f t="shared" si="3"/>
        <v>During Campaign</v>
      </c>
      <c r="T195" s="16">
        <f t="shared" si="4"/>
        <v>6221</v>
      </c>
      <c r="U195" s="15">
        <f t="shared" si="5"/>
        <v>43</v>
      </c>
    </row>
    <row r="196" ht="14.25" customHeight="1">
      <c r="A196" s="9" t="s">
        <v>250</v>
      </c>
      <c r="B196" s="9" t="s">
        <v>212</v>
      </c>
      <c r="C196" s="10">
        <v>45671.0</v>
      </c>
      <c r="D196" s="10" t="str">
        <f>IF(
  AND(C196 &gt;= 'Campaign Metadata'!J$2, C196 &lt;= 'Campaign Metadata'!H$2),
  'Campaign Metadata'!A$2,
IF(
  AND(C196 &gt;= 'Campaign Metadata'!J$3, C196 &lt;= 'Campaign Metadata'!H$3),
  'Campaign Metadata'!A$3,
IF(
  AND(C196 &gt;= 'Campaign Metadata'!J$4, C196 &lt;= 'Campaign Metadata'!H$4),
  'Campaign Metadata'!A$4,
IF(
  AND(C196 &gt;= 'Campaign Metadata'!J$5, C196 &lt;= 'Campaign Metadata'!H$5),
  'Campaign Metadata'!A$5,
"Outside Campaign"
))))
</f>
        <v>NewYearRefresh</v>
      </c>
      <c r="E196" s="9" t="s">
        <v>28</v>
      </c>
      <c r="F196" s="9" t="s">
        <v>217</v>
      </c>
      <c r="G196" s="11">
        <v>2692.0</v>
      </c>
      <c r="H196" s="11">
        <v>115.0</v>
      </c>
      <c r="I196" s="11">
        <v>64.0</v>
      </c>
      <c r="J196" s="11">
        <v>21536.0</v>
      </c>
      <c r="K196" s="11">
        <v>21120.0</v>
      </c>
      <c r="L196" s="11">
        <v>224.0</v>
      </c>
      <c r="M196" s="12" t="s">
        <v>38</v>
      </c>
      <c r="N196" s="12" t="s">
        <v>26</v>
      </c>
      <c r="O196" s="12" t="s">
        <v>26</v>
      </c>
      <c r="P196" s="13">
        <v>0.13331166419019316</v>
      </c>
      <c r="Q196" s="14">
        <f t="shared" si="1"/>
        <v>45671</v>
      </c>
      <c r="R196" s="13">
        <f t="shared" si="2"/>
        <v>2871</v>
      </c>
      <c r="S196" s="15" t="str">
        <f t="shared" si="3"/>
        <v>During Campaign</v>
      </c>
      <c r="T196" s="16">
        <f t="shared" si="4"/>
        <v>-16505</v>
      </c>
      <c r="U196" s="15">
        <f t="shared" si="5"/>
        <v>3</v>
      </c>
    </row>
    <row r="197" ht="14.25" customHeight="1">
      <c r="A197" s="9" t="s">
        <v>251</v>
      </c>
      <c r="B197" s="9" t="s">
        <v>212</v>
      </c>
      <c r="C197" s="10">
        <v>45610.0</v>
      </c>
      <c r="D197" s="10" t="str">
        <f>IF(
  AND(C197 &gt;= 'Campaign Metadata'!J$2, C197 &lt;= 'Campaign Metadata'!H$2),
  'Campaign Metadata'!A$2,
IF(
  AND(C197 &gt;= 'Campaign Metadata'!J$3, C197 &lt;= 'Campaign Metadata'!H$3),
  'Campaign Metadata'!A$3,
IF(
  AND(C197 &gt;= 'Campaign Metadata'!J$4, C197 &lt;= 'Campaign Metadata'!H$4),
  'Campaign Metadata'!A$4,
IF(
  AND(C197 &gt;= 'Campaign Metadata'!J$5, C197 &lt;= 'Campaign Metadata'!H$5),
  'Campaign Metadata'!A$5,
"Outside Campaign"
))))
</f>
        <v>FestiveRadiance</v>
      </c>
      <c r="E197" s="9" t="s">
        <v>31</v>
      </c>
      <c r="F197" s="9" t="s">
        <v>213</v>
      </c>
      <c r="G197" s="11">
        <v>4000.0</v>
      </c>
      <c r="H197" s="11">
        <v>689.0</v>
      </c>
      <c r="I197" s="11">
        <v>488.0</v>
      </c>
      <c r="J197" s="11">
        <v>40000.0</v>
      </c>
      <c r="K197" s="11">
        <v>39569.0</v>
      </c>
      <c r="L197" s="11">
        <v>44.0</v>
      </c>
      <c r="M197" s="12" t="s">
        <v>38</v>
      </c>
      <c r="N197" s="12" t="s">
        <v>26</v>
      </c>
      <c r="O197" s="12" t="s">
        <v>26</v>
      </c>
      <c r="P197" s="13">
        <v>0.129425</v>
      </c>
      <c r="Q197" s="14">
        <f t="shared" si="1"/>
        <v>45610</v>
      </c>
      <c r="R197" s="13">
        <f t="shared" si="2"/>
        <v>5177</v>
      </c>
      <c r="S197" s="15" t="str">
        <f t="shared" si="3"/>
        <v>During Campaign</v>
      </c>
      <c r="T197" s="16">
        <f t="shared" si="4"/>
        <v>18449</v>
      </c>
      <c r="U197" s="15">
        <f t="shared" si="5"/>
        <v>46</v>
      </c>
    </row>
    <row r="198" ht="14.25" customHeight="1">
      <c r="A198" s="9" t="s">
        <v>252</v>
      </c>
      <c r="B198" s="9" t="s">
        <v>212</v>
      </c>
      <c r="C198" s="10">
        <v>45667.0</v>
      </c>
      <c r="D198" s="10" t="str">
        <f>IF(
  AND(C198 &gt;= 'Campaign Metadata'!J$2, C198 &lt;= 'Campaign Metadata'!H$2),
  'Campaign Metadata'!A$2,
IF(
  AND(C198 &gt;= 'Campaign Metadata'!J$3, C198 &lt;= 'Campaign Metadata'!H$3),
  'Campaign Metadata'!A$3,
IF(
  AND(C198 &gt;= 'Campaign Metadata'!J$4, C198 &lt;= 'Campaign Metadata'!H$4),
  'Campaign Metadata'!A$4,
IF(
  AND(C198 &gt;= 'Campaign Metadata'!J$5, C198 &lt;= 'Campaign Metadata'!H$5),
  'Campaign Metadata'!A$5,
"Outside Campaign"
))))
</f>
        <v>NewYearRefresh</v>
      </c>
      <c r="E198" s="9" t="s">
        <v>28</v>
      </c>
      <c r="F198" s="9" t="s">
        <v>217</v>
      </c>
      <c r="G198" s="11">
        <v>3092.0</v>
      </c>
      <c r="H198" s="11">
        <v>106.0</v>
      </c>
      <c r="I198" s="11">
        <v>291.0</v>
      </c>
      <c r="J198" s="11">
        <v>27828.0</v>
      </c>
      <c r="K198" s="11">
        <v>27217.0</v>
      </c>
      <c r="L198" s="11">
        <v>102.0</v>
      </c>
      <c r="M198" s="12" t="s">
        <v>38</v>
      </c>
      <c r="N198" s="12" t="s">
        <v>26</v>
      </c>
      <c r="O198" s="12" t="s">
        <v>26</v>
      </c>
      <c r="P198" s="13">
        <v>0.1253773178094006</v>
      </c>
      <c r="Q198" s="14">
        <f t="shared" si="1"/>
        <v>45667</v>
      </c>
      <c r="R198" s="13">
        <f t="shared" si="2"/>
        <v>3489</v>
      </c>
      <c r="S198" s="15" t="str">
        <f t="shared" si="3"/>
        <v>During Campaign</v>
      </c>
      <c r="T198" s="16">
        <f t="shared" si="4"/>
        <v>-12352</v>
      </c>
      <c r="U198" s="15">
        <f t="shared" si="5"/>
        <v>2</v>
      </c>
    </row>
    <row r="199" ht="14.25" customHeight="1">
      <c r="A199" s="9" t="s">
        <v>253</v>
      </c>
      <c r="B199" s="9" t="s">
        <v>212</v>
      </c>
      <c r="C199" s="10">
        <v>45600.0</v>
      </c>
      <c r="D199" s="10" t="str">
        <f>IF(
  AND(C199 &gt;= 'Campaign Metadata'!J$2, C199 &lt;= 'Campaign Metadata'!H$2),
  'Campaign Metadata'!A$2,
IF(
  AND(C199 &gt;= 'Campaign Metadata'!J$3, C199 &lt;= 'Campaign Metadata'!H$3),
  'Campaign Metadata'!A$3,
IF(
  AND(C199 &gt;= 'Campaign Metadata'!J$4, C199 &lt;= 'Campaign Metadata'!H$4),
  'Campaign Metadata'!A$4,
IF(
  AND(C199 &gt;= 'Campaign Metadata'!J$5, C199 &lt;= 'Campaign Metadata'!H$5),
  'Campaign Metadata'!A$5,
"Outside Campaign"
))))
</f>
        <v>FestiveRadiance</v>
      </c>
      <c r="E199" s="9" t="s">
        <v>28</v>
      </c>
      <c r="F199" s="9" t="s">
        <v>217</v>
      </c>
      <c r="G199" s="11">
        <v>1606.0</v>
      </c>
      <c r="H199" s="11">
        <v>451.0</v>
      </c>
      <c r="I199" s="11">
        <v>405.0</v>
      </c>
      <c r="J199" s="11">
        <v>20878.0</v>
      </c>
      <c r="K199" s="11">
        <v>20190.0</v>
      </c>
      <c r="L199" s="11">
        <v>219.0</v>
      </c>
      <c r="M199" s="12" t="s">
        <v>33</v>
      </c>
      <c r="N199" s="12" t="s">
        <v>26</v>
      </c>
      <c r="O199" s="12" t="s">
        <v>26</v>
      </c>
      <c r="P199" s="13">
        <v>0.11792317271769326</v>
      </c>
      <c r="Q199" s="14">
        <f t="shared" si="1"/>
        <v>45600</v>
      </c>
      <c r="R199" s="13">
        <f t="shared" si="2"/>
        <v>2462</v>
      </c>
      <c r="S199" s="15" t="str">
        <f t="shared" si="3"/>
        <v>During Campaign</v>
      </c>
      <c r="T199" s="16">
        <f t="shared" si="4"/>
        <v>-7027</v>
      </c>
      <c r="U199" s="15">
        <f t="shared" si="5"/>
        <v>45</v>
      </c>
    </row>
    <row r="200" ht="14.25" customHeight="1">
      <c r="A200" s="9" t="s">
        <v>254</v>
      </c>
      <c r="B200" s="9" t="s">
        <v>212</v>
      </c>
      <c r="C200" s="10">
        <v>45707.0</v>
      </c>
      <c r="D200" s="10" t="str">
        <f>IF(
  AND(C200 &gt;= 'Campaign Metadata'!J$2, C200 &lt;= 'Campaign Metadata'!H$2),
  'Campaign Metadata'!A$2,
IF(
  AND(C200 &gt;= 'Campaign Metadata'!J$3, C200 &lt;= 'Campaign Metadata'!H$3),
  'Campaign Metadata'!A$3,
IF(
  AND(C200 &gt;= 'Campaign Metadata'!J$4, C200 &lt;= 'Campaign Metadata'!H$4),
  'Campaign Metadata'!A$4,
IF(
  AND(C200 &gt;= 'Campaign Metadata'!J$5, C200 &lt;= 'Campaign Metadata'!H$5),
  'Campaign Metadata'!A$5,
"Outside Campaign"
))))
</f>
        <v>NewYearRefresh</v>
      </c>
      <c r="E200" s="9" t="s">
        <v>35</v>
      </c>
      <c r="F200" s="9" t="s">
        <v>224</v>
      </c>
      <c r="G200" s="11">
        <v>4671.0</v>
      </c>
      <c r="H200" s="11">
        <v>876.0</v>
      </c>
      <c r="I200" s="11">
        <v>366.0</v>
      </c>
      <c r="J200" s="11">
        <v>51381.0</v>
      </c>
      <c r="K200" s="11">
        <v>50565.0</v>
      </c>
      <c r="L200" s="11">
        <v>245.0</v>
      </c>
      <c r="M200" s="12" t="s">
        <v>25</v>
      </c>
      <c r="N200" s="12" t="s">
        <v>26</v>
      </c>
      <c r="O200" s="12" t="s">
        <v>26</v>
      </c>
      <c r="P200" s="13">
        <v>0.11508145034156594</v>
      </c>
      <c r="Q200" s="14">
        <f t="shared" si="1"/>
        <v>45707</v>
      </c>
      <c r="R200" s="13">
        <f t="shared" si="2"/>
        <v>5913</v>
      </c>
      <c r="S200" s="15" t="str">
        <f t="shared" si="3"/>
        <v>During Campaign</v>
      </c>
      <c r="T200" s="16">
        <f t="shared" si="4"/>
        <v>30375</v>
      </c>
      <c r="U200" s="15">
        <f t="shared" si="5"/>
        <v>8</v>
      </c>
    </row>
    <row r="201" ht="14.25" customHeight="1">
      <c r="A201" s="9" t="s">
        <v>255</v>
      </c>
      <c r="B201" s="9" t="s">
        <v>212</v>
      </c>
      <c r="C201" s="10">
        <v>45552.0</v>
      </c>
      <c r="D201" s="10" t="str">
        <f>IF(
  AND(C201 &gt;= 'Campaign Metadata'!J$2, C201 &lt;= 'Campaign Metadata'!H$2),
  'Campaign Metadata'!A$2,
IF(
  AND(C201 &gt;= 'Campaign Metadata'!J$3, C201 &lt;= 'Campaign Metadata'!H$3),
  'Campaign Metadata'!A$3,
IF(
  AND(C201 &gt;= 'Campaign Metadata'!J$4, C201 &lt;= 'Campaign Metadata'!H$4),
  'Campaign Metadata'!A$4,
IF(
  AND(C201 &gt;= 'Campaign Metadata'!J$5, C201 &lt;= 'Campaign Metadata'!H$5),
  'Campaign Metadata'!A$5,
"Outside Campaign"
))))
</f>
        <v>SummerSplash</v>
      </c>
      <c r="E201" s="9" t="s">
        <v>35</v>
      </c>
      <c r="F201" s="9" t="s">
        <v>224</v>
      </c>
      <c r="G201" s="11">
        <v>571.0</v>
      </c>
      <c r="H201" s="11">
        <v>190.0</v>
      </c>
      <c r="I201" s="11">
        <v>352.0</v>
      </c>
      <c r="J201" s="11">
        <v>9707.0</v>
      </c>
      <c r="K201" s="11">
        <v>9418.0</v>
      </c>
      <c r="L201" s="11">
        <v>231.0</v>
      </c>
      <c r="M201" s="12" t="s">
        <v>25</v>
      </c>
      <c r="N201" s="12" t="s">
        <v>26</v>
      </c>
      <c r="O201" s="12" t="s">
        <v>26</v>
      </c>
      <c r="P201" s="13">
        <v>0.11465952405480581</v>
      </c>
      <c r="Q201" s="14">
        <f t="shared" si="1"/>
        <v>45552</v>
      </c>
      <c r="R201" s="13">
        <f t="shared" si="2"/>
        <v>1113</v>
      </c>
      <c r="S201" s="15" t="str">
        <f t="shared" si="3"/>
        <v>During Campaign</v>
      </c>
      <c r="T201" s="16">
        <f t="shared" si="4"/>
        <v>-41147</v>
      </c>
      <c r="U201" s="15">
        <f t="shared" si="5"/>
        <v>38</v>
      </c>
    </row>
    <row r="202" ht="14.25" customHeight="1">
      <c r="A202" s="9" t="s">
        <v>256</v>
      </c>
      <c r="B202" s="9" t="s">
        <v>212</v>
      </c>
      <c r="C202" s="10">
        <v>45567.0</v>
      </c>
      <c r="D202" s="10" t="str">
        <f>IF(
  AND(C202 &gt;= 'Campaign Metadata'!J$2, C202 &lt;= 'Campaign Metadata'!H$2),
  'Campaign Metadata'!A$2,
IF(
  AND(C202 &gt;= 'Campaign Metadata'!J$3, C202 &lt;= 'Campaign Metadata'!H$3),
  'Campaign Metadata'!A$3,
IF(
  AND(C202 &gt;= 'Campaign Metadata'!J$4, C202 &lt;= 'Campaign Metadata'!H$4),
  'Campaign Metadata'!A$4,
IF(
  AND(C202 &gt;= 'Campaign Metadata'!J$5, C202 &lt;= 'Campaign Metadata'!H$5),
  'Campaign Metadata'!A$5,
"Outside Campaign"
))))
</f>
        <v>FestiveRadiance</v>
      </c>
      <c r="E202" s="9" t="s">
        <v>47</v>
      </c>
      <c r="F202" s="9" t="s">
        <v>215</v>
      </c>
      <c r="G202" s="11">
        <v>4419.0</v>
      </c>
      <c r="H202" s="11">
        <v>236.0</v>
      </c>
      <c r="I202" s="11">
        <v>369.0</v>
      </c>
      <c r="J202" s="11">
        <v>44190.0</v>
      </c>
      <c r="K202" s="11">
        <v>43582.0</v>
      </c>
      <c r="L202" s="11">
        <v>10.0</v>
      </c>
      <c r="M202" s="12" t="s">
        <v>33</v>
      </c>
      <c r="N202" s="12" t="s">
        <v>26</v>
      </c>
      <c r="O202" s="12" t="s">
        <v>26</v>
      </c>
      <c r="P202" s="13">
        <v>0.11369088028965829</v>
      </c>
      <c r="Q202" s="14">
        <f t="shared" si="1"/>
        <v>45567</v>
      </c>
      <c r="R202" s="13">
        <f t="shared" si="2"/>
        <v>5024</v>
      </c>
      <c r="S202" s="15" t="str">
        <f t="shared" si="3"/>
        <v>During Campaign</v>
      </c>
      <c r="T202" s="16">
        <f t="shared" si="4"/>
        <v>34164</v>
      </c>
      <c r="U202" s="15">
        <f t="shared" si="5"/>
        <v>40</v>
      </c>
    </row>
    <row r="203" ht="14.25" customHeight="1">
      <c r="A203" s="9" t="s">
        <v>257</v>
      </c>
      <c r="B203" s="9" t="s">
        <v>212</v>
      </c>
      <c r="C203" s="10">
        <v>45453.0</v>
      </c>
      <c r="D203" s="10" t="str">
        <f>IF(
  AND(C203 &gt;= 'Campaign Metadata'!J$2, C203 &lt;= 'Campaign Metadata'!H$2),
  'Campaign Metadata'!A$2,
IF(
  AND(C203 &gt;= 'Campaign Metadata'!J$3, C203 &lt;= 'Campaign Metadata'!H$3),
  'Campaign Metadata'!A$3,
IF(
  AND(C203 &gt;= 'Campaign Metadata'!J$4, C203 &lt;= 'Campaign Metadata'!H$4),
  'Campaign Metadata'!A$4,
IF(
  AND(C203 &gt;= 'Campaign Metadata'!J$5, C203 &lt;= 'Campaign Metadata'!H$5),
  'Campaign Metadata'!A$5,
"Outside Campaign"
))))
</f>
        <v>SummerSplash</v>
      </c>
      <c r="E203" s="9" t="s">
        <v>31</v>
      </c>
      <c r="F203" s="9" t="s">
        <v>213</v>
      </c>
      <c r="G203" s="11">
        <v>1575.0</v>
      </c>
      <c r="H203" s="11">
        <v>771.0</v>
      </c>
      <c r="I203" s="11">
        <v>486.0</v>
      </c>
      <c r="J203" s="11">
        <v>25200.0</v>
      </c>
      <c r="K203" s="11">
        <v>24826.0</v>
      </c>
      <c r="L203" s="11">
        <v>17.0</v>
      </c>
      <c r="M203" s="12" t="s">
        <v>38</v>
      </c>
      <c r="N203" s="12" t="s">
        <v>26</v>
      </c>
      <c r="O203" s="12" t="s">
        <v>26</v>
      </c>
      <c r="P203" s="13">
        <v>0.11238095238095239</v>
      </c>
      <c r="Q203" s="14">
        <f t="shared" si="1"/>
        <v>45453</v>
      </c>
      <c r="R203" s="13">
        <f t="shared" si="2"/>
        <v>2832</v>
      </c>
      <c r="S203" s="15" t="str">
        <f t="shared" si="3"/>
        <v>During Campaign</v>
      </c>
      <c r="T203" s="16">
        <f t="shared" si="4"/>
        <v>-18756</v>
      </c>
      <c r="U203" s="15">
        <f t="shared" si="5"/>
        <v>24</v>
      </c>
    </row>
    <row r="204" ht="14.25" customHeight="1">
      <c r="A204" s="9" t="s">
        <v>258</v>
      </c>
      <c r="B204" s="9" t="s">
        <v>212</v>
      </c>
      <c r="C204" s="10">
        <v>45622.0</v>
      </c>
      <c r="D204" s="10" t="str">
        <f>IF(
  AND(C204 &gt;= 'Campaign Metadata'!J$2, C204 &lt;= 'Campaign Metadata'!H$2),
  'Campaign Metadata'!A$2,
IF(
  AND(C204 &gt;= 'Campaign Metadata'!J$3, C204 &lt;= 'Campaign Metadata'!H$3),
  'Campaign Metadata'!A$3,
IF(
  AND(C204 &gt;= 'Campaign Metadata'!J$4, C204 &lt;= 'Campaign Metadata'!H$4),
  'Campaign Metadata'!A$4,
IF(
  AND(C204 &gt;= 'Campaign Metadata'!J$5, C204 &lt;= 'Campaign Metadata'!H$5),
  'Campaign Metadata'!A$5,
"Outside Campaign"
))))
</f>
        <v>FestiveRadiance</v>
      </c>
      <c r="E204" s="9" t="s">
        <v>35</v>
      </c>
      <c r="F204" s="9" t="s">
        <v>224</v>
      </c>
      <c r="G204" s="11">
        <v>4516.0</v>
      </c>
      <c r="H204" s="11">
        <v>836.0</v>
      </c>
      <c r="I204" s="11">
        <v>169.0</v>
      </c>
      <c r="J204" s="11">
        <v>49676.0</v>
      </c>
      <c r="K204" s="11">
        <v>49257.0</v>
      </c>
      <c r="L204" s="11">
        <v>282.0</v>
      </c>
      <c r="M204" s="12" t="s">
        <v>33</v>
      </c>
      <c r="N204" s="12" t="s">
        <v>26</v>
      </c>
      <c r="O204" s="12" t="s">
        <v>26</v>
      </c>
      <c r="P204" s="13">
        <v>0.11114018842096787</v>
      </c>
      <c r="Q204" s="14">
        <f t="shared" si="1"/>
        <v>45622</v>
      </c>
      <c r="R204" s="13">
        <f t="shared" si="2"/>
        <v>5521</v>
      </c>
      <c r="S204" s="15" t="str">
        <f t="shared" si="3"/>
        <v>During Campaign</v>
      </c>
      <c r="T204" s="16">
        <f t="shared" si="4"/>
        <v>24431</v>
      </c>
      <c r="U204" s="15">
        <f t="shared" si="5"/>
        <v>48</v>
      </c>
    </row>
    <row r="205" ht="14.25" customHeight="1">
      <c r="A205" s="9" t="s">
        <v>259</v>
      </c>
      <c r="B205" s="9" t="s">
        <v>212</v>
      </c>
      <c r="C205" s="10">
        <v>45467.0</v>
      </c>
      <c r="D205" s="10" t="str">
        <f>IF(
  AND(C205 &gt;= 'Campaign Metadata'!J$2, C205 &lt;= 'Campaign Metadata'!H$2),
  'Campaign Metadata'!A$2,
IF(
  AND(C205 &gt;= 'Campaign Metadata'!J$3, C205 &lt;= 'Campaign Metadata'!H$3),
  'Campaign Metadata'!A$3,
IF(
  AND(C205 &gt;= 'Campaign Metadata'!J$4, C205 &lt;= 'Campaign Metadata'!H$4),
  'Campaign Metadata'!A$4,
IF(
  AND(C205 &gt;= 'Campaign Metadata'!J$5, C205 &lt;= 'Campaign Metadata'!H$5),
  'Campaign Metadata'!A$5,
"Outside Campaign"
))))
</f>
        <v>SummerSplash</v>
      </c>
      <c r="E205" s="9" t="s">
        <v>35</v>
      </c>
      <c r="F205" s="9" t="s">
        <v>224</v>
      </c>
      <c r="G205" s="11">
        <v>941.0</v>
      </c>
      <c r="H205" s="11">
        <v>121.0</v>
      </c>
      <c r="I205" s="11">
        <v>458.0</v>
      </c>
      <c r="J205" s="11">
        <v>14115.0</v>
      </c>
      <c r="K205" s="11">
        <v>13838.0</v>
      </c>
      <c r="L205" s="11">
        <v>87.0</v>
      </c>
      <c r="M205" s="12" t="s">
        <v>33</v>
      </c>
      <c r="N205" s="12" t="s">
        <v>26</v>
      </c>
      <c r="O205" s="12" t="s">
        <v>26</v>
      </c>
      <c r="P205" s="13">
        <v>0.10768685795253277</v>
      </c>
      <c r="Q205" s="14">
        <f t="shared" si="1"/>
        <v>45467</v>
      </c>
      <c r="R205" s="13">
        <f t="shared" si="2"/>
        <v>1520</v>
      </c>
      <c r="S205" s="15" t="str">
        <f t="shared" si="3"/>
        <v>During Campaign</v>
      </c>
      <c r="T205" s="16">
        <f t="shared" si="4"/>
        <v>-35419</v>
      </c>
      <c r="U205" s="15">
        <f t="shared" si="5"/>
        <v>26</v>
      </c>
    </row>
    <row r="206" ht="14.25" customHeight="1">
      <c r="A206" s="9" t="s">
        <v>260</v>
      </c>
      <c r="B206" s="9" t="s">
        <v>212</v>
      </c>
      <c r="C206" s="10">
        <v>45453.0</v>
      </c>
      <c r="D206" s="10" t="str">
        <f>IF(
  AND(C206 &gt;= 'Campaign Metadata'!J$2, C206 &lt;= 'Campaign Metadata'!H$2),
  'Campaign Metadata'!A$2,
IF(
  AND(C206 &gt;= 'Campaign Metadata'!J$3, C206 &lt;= 'Campaign Metadata'!H$3),
  'Campaign Metadata'!A$3,
IF(
  AND(C206 &gt;= 'Campaign Metadata'!J$4, C206 &lt;= 'Campaign Metadata'!H$4),
  'Campaign Metadata'!A$4,
IF(
  AND(C206 &gt;= 'Campaign Metadata'!J$5, C206 &lt;= 'Campaign Metadata'!H$5),
  'Campaign Metadata'!A$5,
"Outside Campaign"
))))
</f>
        <v>SummerSplash</v>
      </c>
      <c r="E206" s="9" t="s">
        <v>31</v>
      </c>
      <c r="F206" s="9" t="s">
        <v>213</v>
      </c>
      <c r="G206" s="11">
        <v>2164.0</v>
      </c>
      <c r="H206" s="11">
        <v>549.0</v>
      </c>
      <c r="I206" s="11">
        <v>274.0</v>
      </c>
      <c r="J206" s="11">
        <v>28132.0</v>
      </c>
      <c r="K206" s="11">
        <v>27361.0</v>
      </c>
      <c r="L206" s="11">
        <v>177.0</v>
      </c>
      <c r="M206" s="12" t="s">
        <v>25</v>
      </c>
      <c r="N206" s="12" t="s">
        <v>26</v>
      </c>
      <c r="O206" s="12" t="s">
        <v>26</v>
      </c>
      <c r="P206" s="13">
        <v>0.10617801791554102</v>
      </c>
      <c r="Q206" s="14">
        <f t="shared" si="1"/>
        <v>45453</v>
      </c>
      <c r="R206" s="13">
        <f t="shared" si="2"/>
        <v>2987</v>
      </c>
      <c r="S206" s="15" t="str">
        <f t="shared" si="3"/>
        <v>During Campaign</v>
      </c>
      <c r="T206" s="16">
        <f t="shared" si="4"/>
        <v>13523</v>
      </c>
      <c r="U206" s="15">
        <f t="shared" si="5"/>
        <v>24</v>
      </c>
    </row>
    <row r="207" ht="14.25" customHeight="1">
      <c r="A207" s="9" t="s">
        <v>261</v>
      </c>
      <c r="B207" s="9" t="s">
        <v>212</v>
      </c>
      <c r="C207" s="10">
        <v>45771.0</v>
      </c>
      <c r="D207" s="10" t="str">
        <f>IF(
  AND(C207 &gt;= 'Campaign Metadata'!J$2, C207 &lt;= 'Campaign Metadata'!H$2),
  'Campaign Metadata'!A$2,
IF(
  AND(C207 &gt;= 'Campaign Metadata'!J$3, C207 &lt;= 'Campaign Metadata'!H$3),
  'Campaign Metadata'!A$3,
IF(
  AND(C207 &gt;= 'Campaign Metadata'!J$4, C207 &lt;= 'Campaign Metadata'!H$4),
  'Campaign Metadata'!A$4,
IF(
  AND(C207 &gt;= 'Campaign Metadata'!J$5, C207 &lt;= 'Campaign Metadata'!H$5),
  'Campaign Metadata'!A$5,
"Outside Campaign"
))))
</f>
        <v>Outside Campaign</v>
      </c>
      <c r="E207" s="9" t="s">
        <v>23</v>
      </c>
      <c r="F207" s="9" t="s">
        <v>227</v>
      </c>
      <c r="G207" s="11">
        <v>3820.0</v>
      </c>
      <c r="H207" s="11">
        <v>697.0</v>
      </c>
      <c r="I207" s="11">
        <v>268.0</v>
      </c>
      <c r="J207" s="11">
        <v>45840.0</v>
      </c>
      <c r="K207" s="11">
        <v>45631.0</v>
      </c>
      <c r="L207" s="11">
        <v>171.0</v>
      </c>
      <c r="M207" s="12" t="s">
        <v>25</v>
      </c>
      <c r="N207" s="12" t="s">
        <v>61</v>
      </c>
      <c r="O207" s="12" t="s">
        <v>26</v>
      </c>
      <c r="P207" s="13">
        <v>0.1043848167539267</v>
      </c>
      <c r="Q207" s="14">
        <f t="shared" si="1"/>
        <v>45771</v>
      </c>
      <c r="R207" s="13">
        <f t="shared" si="2"/>
        <v>4785</v>
      </c>
      <c r="S207" s="15" t="str">
        <f t="shared" si="3"/>
        <v>Before Campaign</v>
      </c>
      <c r="T207" s="16">
        <f t="shared" si="4"/>
        <v>18270</v>
      </c>
      <c r="U207" s="15">
        <f t="shared" si="5"/>
        <v>17</v>
      </c>
    </row>
    <row r="208" ht="14.25" customHeight="1">
      <c r="A208" s="9" t="s">
        <v>262</v>
      </c>
      <c r="B208" s="9" t="s">
        <v>212</v>
      </c>
      <c r="C208" s="10">
        <v>45545.0</v>
      </c>
      <c r="D208" s="10" t="str">
        <f>IF(
  AND(C208 &gt;= 'Campaign Metadata'!J$2, C208 &lt;= 'Campaign Metadata'!H$2),
  'Campaign Metadata'!A$2,
IF(
  AND(C208 &gt;= 'Campaign Metadata'!J$3, C208 &lt;= 'Campaign Metadata'!H$3),
  'Campaign Metadata'!A$3,
IF(
  AND(C208 &gt;= 'Campaign Metadata'!J$4, C208 &lt;= 'Campaign Metadata'!H$4),
  'Campaign Metadata'!A$4,
IF(
  AND(C208 &gt;= 'Campaign Metadata'!J$5, C208 &lt;= 'Campaign Metadata'!H$5),
  'Campaign Metadata'!A$5,
"Outside Campaign"
))))
</f>
        <v>SummerSplash</v>
      </c>
      <c r="E208" s="9" t="s">
        <v>28</v>
      </c>
      <c r="F208" s="9" t="s">
        <v>217</v>
      </c>
      <c r="G208" s="11">
        <v>1238.0</v>
      </c>
      <c r="H208" s="11">
        <v>366.0</v>
      </c>
      <c r="I208" s="11">
        <v>444.0</v>
      </c>
      <c r="J208" s="11">
        <v>19808.0</v>
      </c>
      <c r="K208" s="11">
        <v>19334.0</v>
      </c>
      <c r="L208" s="11">
        <v>123.0</v>
      </c>
      <c r="M208" s="12" t="s">
        <v>38</v>
      </c>
      <c r="N208" s="12" t="s">
        <v>26</v>
      </c>
      <c r="O208" s="12" t="s">
        <v>26</v>
      </c>
      <c r="P208" s="13">
        <v>0.10339256865912763</v>
      </c>
      <c r="Q208" s="14">
        <f t="shared" si="1"/>
        <v>45545</v>
      </c>
      <c r="R208" s="13">
        <f t="shared" si="2"/>
        <v>2048</v>
      </c>
      <c r="S208" s="15" t="str">
        <f t="shared" si="3"/>
        <v>During Campaign</v>
      </c>
      <c r="T208" s="16">
        <f t="shared" si="4"/>
        <v>-26297</v>
      </c>
      <c r="U208" s="15">
        <f t="shared" si="5"/>
        <v>37</v>
      </c>
    </row>
    <row r="209" ht="14.25" customHeight="1">
      <c r="A209" s="9" t="s">
        <v>263</v>
      </c>
      <c r="B209" s="9" t="s">
        <v>212</v>
      </c>
      <c r="C209" s="10">
        <v>45741.0</v>
      </c>
      <c r="D209" s="10" t="str">
        <f>IF(
  AND(C209 &gt;= 'Campaign Metadata'!J$2, C209 &lt;= 'Campaign Metadata'!H$2),
  'Campaign Metadata'!A$2,
IF(
  AND(C209 &gt;= 'Campaign Metadata'!J$3, C209 &lt;= 'Campaign Metadata'!H$3),
  'Campaign Metadata'!A$3,
IF(
  AND(C209 &gt;= 'Campaign Metadata'!J$4, C209 &lt;= 'Campaign Metadata'!H$4),
  'Campaign Metadata'!A$4,
IF(
  AND(C209 &gt;= 'Campaign Metadata'!J$5, C209 &lt;= 'Campaign Metadata'!H$5),
  'Campaign Metadata'!A$5,
"Outside Campaign"
))))
</f>
        <v>Outside Campaign</v>
      </c>
      <c r="E209" s="9" t="s">
        <v>23</v>
      </c>
      <c r="F209" s="9" t="s">
        <v>227</v>
      </c>
      <c r="G209" s="11">
        <v>4050.0</v>
      </c>
      <c r="H209" s="11">
        <v>871.0</v>
      </c>
      <c r="I209" s="11">
        <v>347.0</v>
      </c>
      <c r="J209" s="11">
        <v>52650.0</v>
      </c>
      <c r="K209" s="11">
        <v>51755.0</v>
      </c>
      <c r="L209" s="11">
        <v>209.0</v>
      </c>
      <c r="M209" s="12" t="s">
        <v>25</v>
      </c>
      <c r="N209" s="12" t="s">
        <v>26</v>
      </c>
      <c r="O209" s="12" t="s">
        <v>26</v>
      </c>
      <c r="P209" s="13">
        <v>0.10005698005698006</v>
      </c>
      <c r="Q209" s="14">
        <f t="shared" si="1"/>
        <v>45741</v>
      </c>
      <c r="R209" s="13">
        <f t="shared" si="2"/>
        <v>5268</v>
      </c>
      <c r="S209" s="15" t="str">
        <f t="shared" si="3"/>
        <v>Before Campaign</v>
      </c>
      <c r="T209" s="16">
        <f t="shared" si="4"/>
        <v>32421</v>
      </c>
      <c r="U209" s="15">
        <f t="shared" si="5"/>
        <v>13</v>
      </c>
    </row>
    <row r="210" ht="14.25" customHeight="1">
      <c r="A210" s="9" t="s">
        <v>264</v>
      </c>
      <c r="B210" s="9" t="s">
        <v>212</v>
      </c>
      <c r="C210" s="10">
        <v>45546.0</v>
      </c>
      <c r="D210" s="10" t="str">
        <f>IF(
  AND(C210 &gt;= 'Campaign Metadata'!J$2, C210 &lt;= 'Campaign Metadata'!H$2),
  'Campaign Metadata'!A$2,
IF(
  AND(C210 &gt;= 'Campaign Metadata'!J$3, C210 &lt;= 'Campaign Metadata'!H$3),
  'Campaign Metadata'!A$3,
IF(
  AND(C210 &gt;= 'Campaign Metadata'!J$4, C210 &lt;= 'Campaign Metadata'!H$4),
  'Campaign Metadata'!A$4,
IF(
  AND(C210 &gt;= 'Campaign Metadata'!J$5, C210 &lt;= 'Campaign Metadata'!H$5),
  'Campaign Metadata'!A$5,
"Outside Campaign"
))))
</f>
        <v>SummerSplash</v>
      </c>
      <c r="E210" s="9" t="s">
        <v>28</v>
      </c>
      <c r="F210" s="9" t="s">
        <v>217</v>
      </c>
      <c r="G210" s="11">
        <v>4858.0</v>
      </c>
      <c r="H210" s="11">
        <v>317.0</v>
      </c>
      <c r="I210" s="11">
        <v>129.0</v>
      </c>
      <c r="J210" s="11">
        <v>53438.0</v>
      </c>
      <c r="K210" s="11">
        <v>52687.0</v>
      </c>
      <c r="L210" s="11">
        <v>223.0</v>
      </c>
      <c r="M210" s="12" t="s">
        <v>33</v>
      </c>
      <c r="N210" s="12" t="s">
        <v>26</v>
      </c>
      <c r="O210" s="12" t="s">
        <v>26</v>
      </c>
      <c r="P210" s="13">
        <v>0.09925521164714249</v>
      </c>
      <c r="Q210" s="14">
        <f t="shared" si="1"/>
        <v>45546</v>
      </c>
      <c r="R210" s="13">
        <f t="shared" si="2"/>
        <v>5304</v>
      </c>
      <c r="S210" s="15" t="str">
        <f t="shared" si="3"/>
        <v>During Campaign</v>
      </c>
      <c r="T210" s="16">
        <f t="shared" si="4"/>
        <v>932</v>
      </c>
      <c r="U210" s="15">
        <f t="shared" si="5"/>
        <v>37</v>
      </c>
    </row>
    <row r="211" ht="14.25" customHeight="1">
      <c r="A211" s="9" t="s">
        <v>265</v>
      </c>
      <c r="B211" s="9" t="s">
        <v>212</v>
      </c>
      <c r="C211" s="10">
        <v>45718.0</v>
      </c>
      <c r="D211" s="10" t="str">
        <f>IF(
  AND(C211 &gt;= 'Campaign Metadata'!J$2, C211 &lt;= 'Campaign Metadata'!H$2),
  'Campaign Metadata'!A$2,
IF(
  AND(C211 &gt;= 'Campaign Metadata'!J$3, C211 &lt;= 'Campaign Metadata'!H$3),
  'Campaign Metadata'!A$3,
IF(
  AND(C211 &gt;= 'Campaign Metadata'!J$4, C211 &lt;= 'Campaign Metadata'!H$4),
  'Campaign Metadata'!A$4,
IF(
  AND(C211 &gt;= 'Campaign Metadata'!J$5, C211 &lt;= 'Campaign Metadata'!H$5),
  'Campaign Metadata'!A$5,
"Outside Campaign"
))))
</f>
        <v>Outside Campaign</v>
      </c>
      <c r="E211" s="9" t="s">
        <v>28</v>
      </c>
      <c r="F211" s="9" t="s">
        <v>217</v>
      </c>
      <c r="G211" s="11">
        <v>2358.0</v>
      </c>
      <c r="H211" s="11">
        <v>784.0</v>
      </c>
      <c r="I211" s="11">
        <v>344.0</v>
      </c>
      <c r="J211" s="11">
        <v>35370.0</v>
      </c>
      <c r="K211" s="11">
        <v>34475.0</v>
      </c>
      <c r="L211" s="11">
        <v>216.0</v>
      </c>
      <c r="M211" s="12" t="s">
        <v>25</v>
      </c>
      <c r="N211" s="12" t="s">
        <v>26</v>
      </c>
      <c r="O211" s="12" t="s">
        <v>26</v>
      </c>
      <c r="P211" s="13">
        <v>0.09855810008481765</v>
      </c>
      <c r="Q211" s="14">
        <f t="shared" si="1"/>
        <v>45718</v>
      </c>
      <c r="R211" s="13">
        <f t="shared" si="2"/>
        <v>3486</v>
      </c>
      <c r="S211" s="15" t="str">
        <f t="shared" si="3"/>
        <v>Before Campaign</v>
      </c>
      <c r="T211" s="16">
        <f t="shared" si="4"/>
        <v>-18212</v>
      </c>
      <c r="U211" s="15">
        <f t="shared" si="5"/>
        <v>9</v>
      </c>
    </row>
    <row r="212" ht="14.25" customHeight="1">
      <c r="A212" s="9" t="s">
        <v>266</v>
      </c>
      <c r="B212" s="9" t="s">
        <v>212</v>
      </c>
      <c r="C212" s="10">
        <v>45722.0</v>
      </c>
      <c r="D212" s="10" t="str">
        <f>IF(
  AND(C212 &gt;= 'Campaign Metadata'!J$2, C212 &lt;= 'Campaign Metadata'!H$2),
  'Campaign Metadata'!A$2,
IF(
  AND(C212 &gt;= 'Campaign Metadata'!J$3, C212 &lt;= 'Campaign Metadata'!H$3),
  'Campaign Metadata'!A$3,
IF(
  AND(C212 &gt;= 'Campaign Metadata'!J$4, C212 &lt;= 'Campaign Metadata'!H$4),
  'Campaign Metadata'!A$4,
IF(
  AND(C212 &gt;= 'Campaign Metadata'!J$5, C212 &lt;= 'Campaign Metadata'!H$5),
  'Campaign Metadata'!A$5,
"Outside Campaign"
))))
</f>
        <v>Outside Campaign</v>
      </c>
      <c r="E212" s="9" t="s">
        <v>28</v>
      </c>
      <c r="F212" s="9" t="s">
        <v>217</v>
      </c>
      <c r="G212" s="11">
        <v>3592.0</v>
      </c>
      <c r="H212" s="11">
        <v>911.0</v>
      </c>
      <c r="I212" s="11">
        <v>375.0</v>
      </c>
      <c r="J212" s="11">
        <v>50288.0</v>
      </c>
      <c r="K212" s="11">
        <v>49490.0</v>
      </c>
      <c r="L212" s="11">
        <v>32.0</v>
      </c>
      <c r="M212" s="12" t="s">
        <v>38</v>
      </c>
      <c r="N212" s="12" t="s">
        <v>26</v>
      </c>
      <c r="O212" s="12" t="s">
        <v>26</v>
      </c>
      <c r="P212" s="13">
        <v>0.09700127266942411</v>
      </c>
      <c r="Q212" s="14">
        <f t="shared" si="1"/>
        <v>45722</v>
      </c>
      <c r="R212" s="13">
        <f t="shared" si="2"/>
        <v>4878</v>
      </c>
      <c r="S212" s="15" t="str">
        <f t="shared" si="3"/>
        <v>Before Campaign</v>
      </c>
      <c r="T212" s="16">
        <f t="shared" si="4"/>
        <v>15015</v>
      </c>
      <c r="U212" s="15">
        <f t="shared" si="5"/>
        <v>10</v>
      </c>
    </row>
    <row r="213" ht="14.25" customHeight="1">
      <c r="A213" s="9" t="s">
        <v>267</v>
      </c>
      <c r="B213" s="9" t="s">
        <v>212</v>
      </c>
      <c r="C213" s="10">
        <v>45724.0</v>
      </c>
      <c r="D213" s="10" t="str">
        <f>IF(
  AND(C213 &gt;= 'Campaign Metadata'!J$2, C213 &lt;= 'Campaign Metadata'!H$2),
  'Campaign Metadata'!A$2,
IF(
  AND(C213 &gt;= 'Campaign Metadata'!J$3, C213 &lt;= 'Campaign Metadata'!H$3),
  'Campaign Metadata'!A$3,
IF(
  AND(C213 &gt;= 'Campaign Metadata'!J$4, C213 &lt;= 'Campaign Metadata'!H$4),
  'Campaign Metadata'!A$4,
IF(
  AND(C213 &gt;= 'Campaign Metadata'!J$5, C213 &lt;= 'Campaign Metadata'!H$5),
  'Campaign Metadata'!A$5,
"Outside Campaign"
))))
</f>
        <v>Outside Campaign</v>
      </c>
      <c r="E213" s="9" t="s">
        <v>35</v>
      </c>
      <c r="F213" s="9" t="s">
        <v>224</v>
      </c>
      <c r="G213" s="11">
        <v>1292.0</v>
      </c>
      <c r="H213" s="11">
        <v>626.0</v>
      </c>
      <c r="I213" s="11">
        <v>496.0</v>
      </c>
      <c r="J213" s="11">
        <v>25840.0</v>
      </c>
      <c r="K213" s="11">
        <v>24916.0</v>
      </c>
      <c r="L213" s="11">
        <v>149.0</v>
      </c>
      <c r="M213" s="12" t="s">
        <v>38</v>
      </c>
      <c r="N213" s="12" t="s">
        <v>26</v>
      </c>
      <c r="O213" s="12" t="s">
        <v>26</v>
      </c>
      <c r="P213" s="13">
        <v>0.09342105263157895</v>
      </c>
      <c r="Q213" s="14">
        <f t="shared" si="1"/>
        <v>45724</v>
      </c>
      <c r="R213" s="13">
        <f t="shared" si="2"/>
        <v>2414</v>
      </c>
      <c r="S213" s="15" t="str">
        <f t="shared" si="3"/>
        <v>Before Campaign</v>
      </c>
      <c r="T213" s="16">
        <f t="shared" si="4"/>
        <v>-24574</v>
      </c>
      <c r="U213" s="15">
        <f t="shared" si="5"/>
        <v>10</v>
      </c>
    </row>
    <row r="214" ht="14.25" customHeight="1">
      <c r="A214" s="9" t="s">
        <v>268</v>
      </c>
      <c r="B214" s="9" t="s">
        <v>212</v>
      </c>
      <c r="C214" s="10">
        <v>45528.0</v>
      </c>
      <c r="D214" s="10" t="str">
        <f>IF(
  AND(C214 &gt;= 'Campaign Metadata'!J$2, C214 &lt;= 'Campaign Metadata'!H$2),
  'Campaign Metadata'!A$2,
IF(
  AND(C214 &gt;= 'Campaign Metadata'!J$3, C214 &lt;= 'Campaign Metadata'!H$3),
  'Campaign Metadata'!A$3,
IF(
  AND(C214 &gt;= 'Campaign Metadata'!J$4, C214 &lt;= 'Campaign Metadata'!H$4),
  'Campaign Metadata'!A$4,
IF(
  AND(C214 &gt;= 'Campaign Metadata'!J$5, C214 &lt;= 'Campaign Metadata'!H$5),
  'Campaign Metadata'!A$5,
"Outside Campaign"
))))
</f>
        <v>SummerSplash</v>
      </c>
      <c r="E214" s="9" t="s">
        <v>23</v>
      </c>
      <c r="F214" s="9" t="s">
        <v>227</v>
      </c>
      <c r="G214" s="11">
        <v>1082.0</v>
      </c>
      <c r="H214" s="11">
        <v>209.0</v>
      </c>
      <c r="I214" s="11">
        <v>484.0</v>
      </c>
      <c r="J214" s="11">
        <v>19476.0</v>
      </c>
      <c r="K214" s="11">
        <v>18654.0</v>
      </c>
      <c r="L214" s="11">
        <v>20.0</v>
      </c>
      <c r="M214" s="12" t="s">
        <v>25</v>
      </c>
      <c r="N214" s="12" t="s">
        <v>26</v>
      </c>
      <c r="O214" s="12" t="s">
        <v>26</v>
      </c>
      <c r="P214" s="13">
        <v>0.09113781063873486</v>
      </c>
      <c r="Q214" s="14">
        <f t="shared" si="1"/>
        <v>45528</v>
      </c>
      <c r="R214" s="13">
        <f t="shared" si="2"/>
        <v>1775</v>
      </c>
      <c r="S214" s="15" t="str">
        <f t="shared" si="3"/>
        <v>During Campaign</v>
      </c>
      <c r="T214" s="16">
        <f t="shared" si="4"/>
        <v>-6262</v>
      </c>
      <c r="U214" s="15">
        <f t="shared" si="5"/>
        <v>34</v>
      </c>
    </row>
    <row r="215" ht="14.25" customHeight="1">
      <c r="A215" s="9" t="s">
        <v>269</v>
      </c>
      <c r="B215" s="9" t="s">
        <v>212</v>
      </c>
      <c r="C215" s="10">
        <v>45649.0</v>
      </c>
      <c r="D215" s="10" t="str">
        <f>IF(
  AND(C215 &gt;= 'Campaign Metadata'!J$2, C215 &lt;= 'Campaign Metadata'!H$2),
  'Campaign Metadata'!A$2,
IF(
  AND(C215 &gt;= 'Campaign Metadata'!J$3, C215 &lt;= 'Campaign Metadata'!H$3),
  'Campaign Metadata'!A$3,
IF(
  AND(C215 &gt;= 'Campaign Metadata'!J$4, C215 &lt;= 'Campaign Metadata'!H$4),
  'Campaign Metadata'!A$4,
IF(
  AND(C215 &gt;= 'Campaign Metadata'!J$5, C215 &lt;= 'Campaign Metadata'!H$5),
  'Campaign Metadata'!A$5,
"Outside Campaign"
))))
</f>
        <v>FestiveRadiance</v>
      </c>
      <c r="E215" s="9" t="s">
        <v>50</v>
      </c>
      <c r="F215" s="9" t="s">
        <v>219</v>
      </c>
      <c r="G215" s="11">
        <v>1461.0</v>
      </c>
      <c r="H215" s="11">
        <v>184.0</v>
      </c>
      <c r="I215" s="11">
        <v>344.0</v>
      </c>
      <c r="J215" s="11">
        <v>21915.0</v>
      </c>
      <c r="K215" s="11">
        <v>21675.0</v>
      </c>
      <c r="L215" s="11">
        <v>15.0</v>
      </c>
      <c r="M215" s="12" t="s">
        <v>38</v>
      </c>
      <c r="N215" s="12" t="s">
        <v>67</v>
      </c>
      <c r="O215" s="12" t="s">
        <v>26</v>
      </c>
      <c r="P215" s="13">
        <v>0.09075975359342915</v>
      </c>
      <c r="Q215" s="14">
        <f t="shared" si="1"/>
        <v>45649</v>
      </c>
      <c r="R215" s="13">
        <f t="shared" si="2"/>
        <v>1989</v>
      </c>
      <c r="S215" s="15" t="str">
        <f t="shared" si="3"/>
        <v>During Campaign</v>
      </c>
      <c r="T215" s="16">
        <f t="shared" si="4"/>
        <v>3021</v>
      </c>
      <c r="U215" s="15">
        <f t="shared" si="5"/>
        <v>52</v>
      </c>
    </row>
    <row r="216" ht="14.25" customHeight="1">
      <c r="A216" s="9" t="s">
        <v>270</v>
      </c>
      <c r="B216" s="9" t="s">
        <v>212</v>
      </c>
      <c r="C216" s="10">
        <v>45672.0</v>
      </c>
      <c r="D216" s="10" t="str">
        <f>IF(
  AND(C216 &gt;= 'Campaign Metadata'!J$2, C216 &lt;= 'Campaign Metadata'!H$2),
  'Campaign Metadata'!A$2,
IF(
  AND(C216 &gt;= 'Campaign Metadata'!J$3, C216 &lt;= 'Campaign Metadata'!H$3),
  'Campaign Metadata'!A$3,
IF(
  AND(C216 &gt;= 'Campaign Metadata'!J$4, C216 &lt;= 'Campaign Metadata'!H$4),
  'Campaign Metadata'!A$4,
IF(
  AND(C216 &gt;= 'Campaign Metadata'!J$5, C216 &lt;= 'Campaign Metadata'!H$5),
  'Campaign Metadata'!A$5,
"Outside Campaign"
))))
</f>
        <v>NewYearRefresh</v>
      </c>
      <c r="E216" s="9" t="s">
        <v>50</v>
      </c>
      <c r="F216" s="9" t="s">
        <v>219</v>
      </c>
      <c r="G216" s="11">
        <v>802.0</v>
      </c>
      <c r="H216" s="11">
        <v>262.0</v>
      </c>
      <c r="I216" s="11">
        <v>244.0</v>
      </c>
      <c r="J216" s="11">
        <v>14436.0</v>
      </c>
      <c r="K216" s="11">
        <v>14280.0</v>
      </c>
      <c r="L216" s="11">
        <v>49.0</v>
      </c>
      <c r="M216" s="12" t="s">
        <v>33</v>
      </c>
      <c r="N216" s="12" t="s">
        <v>26</v>
      </c>
      <c r="O216" s="12" t="s">
        <v>26</v>
      </c>
      <c r="P216" s="13">
        <v>0.09060681629260182</v>
      </c>
      <c r="Q216" s="14">
        <f t="shared" si="1"/>
        <v>45672</v>
      </c>
      <c r="R216" s="13">
        <f t="shared" si="2"/>
        <v>1308</v>
      </c>
      <c r="S216" s="15" t="str">
        <f t="shared" si="3"/>
        <v>During Campaign</v>
      </c>
      <c r="T216" s="16">
        <f t="shared" si="4"/>
        <v>-7395</v>
      </c>
      <c r="U216" s="15">
        <f t="shared" si="5"/>
        <v>3</v>
      </c>
    </row>
    <row r="217" ht="14.25" customHeight="1">
      <c r="A217" s="9" t="s">
        <v>271</v>
      </c>
      <c r="B217" s="9" t="s">
        <v>212</v>
      </c>
      <c r="C217" s="10">
        <v>45491.0</v>
      </c>
      <c r="D217" s="10" t="str">
        <f>IF(
  AND(C217 &gt;= 'Campaign Metadata'!J$2, C217 &lt;= 'Campaign Metadata'!H$2),
  'Campaign Metadata'!A$2,
IF(
  AND(C217 &gt;= 'Campaign Metadata'!J$3, C217 &lt;= 'Campaign Metadata'!H$3),
  'Campaign Metadata'!A$3,
IF(
  AND(C217 &gt;= 'Campaign Metadata'!J$4, C217 &lt;= 'Campaign Metadata'!H$4),
  'Campaign Metadata'!A$4,
IF(
  AND(C217 &gt;= 'Campaign Metadata'!J$5, C217 &lt;= 'Campaign Metadata'!H$5),
  'Campaign Metadata'!A$5,
"Outside Campaign"
))))
</f>
        <v>SummerSplash</v>
      </c>
      <c r="E217" s="9" t="s">
        <v>28</v>
      </c>
      <c r="F217" s="9" t="s">
        <v>217</v>
      </c>
      <c r="G217" s="11">
        <v>827.0</v>
      </c>
      <c r="H217" s="11">
        <v>77.0</v>
      </c>
      <c r="I217" s="11">
        <v>402.0</v>
      </c>
      <c r="J217" s="11">
        <v>14886.0</v>
      </c>
      <c r="K217" s="11">
        <v>14129.0</v>
      </c>
      <c r="L217" s="11">
        <v>254.0</v>
      </c>
      <c r="M217" s="12" t="s">
        <v>33</v>
      </c>
      <c r="N217" s="12" t="s">
        <v>26</v>
      </c>
      <c r="O217" s="12" t="s">
        <v>26</v>
      </c>
      <c r="P217" s="13">
        <v>0.08773344081687491</v>
      </c>
      <c r="Q217" s="14">
        <f t="shared" si="1"/>
        <v>45491</v>
      </c>
      <c r="R217" s="13">
        <f t="shared" si="2"/>
        <v>1306</v>
      </c>
      <c r="S217" s="15" t="str">
        <f t="shared" si="3"/>
        <v>During Campaign</v>
      </c>
      <c r="T217" s="16">
        <f t="shared" si="4"/>
        <v>-151</v>
      </c>
      <c r="U217" s="15">
        <f t="shared" si="5"/>
        <v>29</v>
      </c>
    </row>
    <row r="218" ht="14.25" customHeight="1">
      <c r="A218" s="9" t="s">
        <v>272</v>
      </c>
      <c r="B218" s="9" t="s">
        <v>212</v>
      </c>
      <c r="C218" s="10">
        <v>45507.0</v>
      </c>
      <c r="D218" s="10" t="str">
        <f>IF(
  AND(C218 &gt;= 'Campaign Metadata'!J$2, C218 &lt;= 'Campaign Metadata'!H$2),
  'Campaign Metadata'!A$2,
IF(
  AND(C218 &gt;= 'Campaign Metadata'!J$3, C218 &lt;= 'Campaign Metadata'!H$3),
  'Campaign Metadata'!A$3,
IF(
  AND(C218 &gt;= 'Campaign Metadata'!J$4, C218 &lt;= 'Campaign Metadata'!H$4),
  'Campaign Metadata'!A$4,
IF(
  AND(C218 &gt;= 'Campaign Metadata'!J$5, C218 &lt;= 'Campaign Metadata'!H$5),
  'Campaign Metadata'!A$5,
"Outside Campaign"
))))
</f>
        <v>SummerSplash</v>
      </c>
      <c r="E218" s="9" t="s">
        <v>50</v>
      </c>
      <c r="F218" s="9" t="s">
        <v>219</v>
      </c>
      <c r="G218" s="11">
        <v>3791.0</v>
      </c>
      <c r="H218" s="11">
        <v>593.0</v>
      </c>
      <c r="I218" s="11">
        <v>228.0</v>
      </c>
      <c r="J218" s="11">
        <v>53074.0</v>
      </c>
      <c r="K218" s="11">
        <v>52613.0</v>
      </c>
      <c r="L218" s="11">
        <v>205.0</v>
      </c>
      <c r="M218" s="12" t="s">
        <v>33</v>
      </c>
      <c r="N218" s="12" t="s">
        <v>26</v>
      </c>
      <c r="O218" s="12" t="s">
        <v>26</v>
      </c>
      <c r="P218" s="13">
        <v>0.0868975392847722</v>
      </c>
      <c r="Q218" s="14">
        <f t="shared" si="1"/>
        <v>45507</v>
      </c>
      <c r="R218" s="13">
        <f t="shared" si="2"/>
        <v>4612</v>
      </c>
      <c r="S218" s="15" t="str">
        <f t="shared" si="3"/>
        <v>During Campaign</v>
      </c>
      <c r="T218" s="16">
        <f t="shared" si="4"/>
        <v>38484</v>
      </c>
      <c r="U218" s="15">
        <f t="shared" si="5"/>
        <v>31</v>
      </c>
    </row>
    <row r="219" ht="14.25" customHeight="1">
      <c r="A219" s="9" t="s">
        <v>273</v>
      </c>
      <c r="B219" s="9" t="s">
        <v>212</v>
      </c>
      <c r="C219" s="10">
        <v>45530.0</v>
      </c>
      <c r="D219" s="10" t="str">
        <f>IF(
  AND(C219 &gt;= 'Campaign Metadata'!J$2, C219 &lt;= 'Campaign Metadata'!H$2),
  'Campaign Metadata'!A$2,
IF(
  AND(C219 &gt;= 'Campaign Metadata'!J$3, C219 &lt;= 'Campaign Metadata'!H$3),
  'Campaign Metadata'!A$3,
IF(
  AND(C219 &gt;= 'Campaign Metadata'!J$4, C219 &lt;= 'Campaign Metadata'!H$4),
  'Campaign Metadata'!A$4,
IF(
  AND(C219 &gt;= 'Campaign Metadata'!J$5, C219 &lt;= 'Campaign Metadata'!H$5),
  'Campaign Metadata'!A$5,
"Outside Campaign"
))))
</f>
        <v>SummerSplash</v>
      </c>
      <c r="E219" s="9" t="s">
        <v>47</v>
      </c>
      <c r="F219" s="9" t="s">
        <v>215</v>
      </c>
      <c r="G219" s="11">
        <v>929.0</v>
      </c>
      <c r="H219" s="11">
        <v>192.0</v>
      </c>
      <c r="I219" s="11">
        <v>322.0</v>
      </c>
      <c r="J219" s="11">
        <v>16722.0</v>
      </c>
      <c r="K219" s="11">
        <v>15996.0</v>
      </c>
      <c r="L219" s="11">
        <v>145.0</v>
      </c>
      <c r="M219" s="12" t="s">
        <v>33</v>
      </c>
      <c r="N219" s="12" t="s">
        <v>25</v>
      </c>
      <c r="O219" s="12" t="s">
        <v>67</v>
      </c>
      <c r="P219" s="13">
        <v>0.0862935055615357</v>
      </c>
      <c r="Q219" s="14">
        <f t="shared" si="1"/>
        <v>45530</v>
      </c>
      <c r="R219" s="13">
        <f t="shared" si="2"/>
        <v>1443</v>
      </c>
      <c r="S219" s="15" t="str">
        <f t="shared" si="3"/>
        <v>During Campaign</v>
      </c>
      <c r="T219" s="16">
        <f t="shared" si="4"/>
        <v>-36617</v>
      </c>
      <c r="U219" s="15">
        <f t="shared" si="5"/>
        <v>35</v>
      </c>
    </row>
    <row r="220" ht="14.25" customHeight="1">
      <c r="A220" s="9" t="s">
        <v>274</v>
      </c>
      <c r="B220" s="9" t="s">
        <v>212</v>
      </c>
      <c r="C220" s="10">
        <v>45648.0</v>
      </c>
      <c r="D220" s="10" t="str">
        <f>IF(
  AND(C220 &gt;= 'Campaign Metadata'!J$2, C220 &lt;= 'Campaign Metadata'!H$2),
  'Campaign Metadata'!A$2,
IF(
  AND(C220 &gt;= 'Campaign Metadata'!J$3, C220 &lt;= 'Campaign Metadata'!H$3),
  'Campaign Metadata'!A$3,
IF(
  AND(C220 &gt;= 'Campaign Metadata'!J$4, C220 &lt;= 'Campaign Metadata'!H$4),
  'Campaign Metadata'!A$4,
IF(
  AND(C220 &gt;= 'Campaign Metadata'!J$5, C220 &lt;= 'Campaign Metadata'!H$5),
  'Campaign Metadata'!A$5,
"Outside Campaign"
))))
</f>
        <v>FestiveRadiance</v>
      </c>
      <c r="E220" s="9" t="s">
        <v>50</v>
      </c>
      <c r="F220" s="9" t="s">
        <v>219</v>
      </c>
      <c r="G220" s="11">
        <v>1644.0</v>
      </c>
      <c r="H220" s="11">
        <v>546.0</v>
      </c>
      <c r="I220" s="11">
        <v>150.0</v>
      </c>
      <c r="J220" s="11">
        <v>27948.0</v>
      </c>
      <c r="K220" s="11">
        <v>27184.0</v>
      </c>
      <c r="L220" s="11">
        <v>300.0</v>
      </c>
      <c r="M220" s="12" t="s">
        <v>33</v>
      </c>
      <c r="N220" s="12" t="s">
        <v>26</v>
      </c>
      <c r="O220" s="12" t="s">
        <v>26</v>
      </c>
      <c r="P220" s="13">
        <v>0.0837269214255045</v>
      </c>
      <c r="Q220" s="14">
        <f t="shared" si="1"/>
        <v>45648</v>
      </c>
      <c r="R220" s="13">
        <f t="shared" si="2"/>
        <v>2340</v>
      </c>
      <c r="S220" s="15" t="str">
        <f t="shared" si="3"/>
        <v>During Campaign</v>
      </c>
      <c r="T220" s="16">
        <f t="shared" si="4"/>
        <v>11188</v>
      </c>
      <c r="U220" s="15">
        <f t="shared" si="5"/>
        <v>51</v>
      </c>
    </row>
    <row r="221" ht="14.25" customHeight="1">
      <c r="A221" s="9" t="s">
        <v>275</v>
      </c>
      <c r="B221" s="9" t="s">
        <v>212</v>
      </c>
      <c r="C221" s="10">
        <v>45535.0</v>
      </c>
      <c r="D221" s="10" t="str">
        <f>IF(
  AND(C221 &gt;= 'Campaign Metadata'!J$2, C221 &lt;= 'Campaign Metadata'!H$2),
  'Campaign Metadata'!A$2,
IF(
  AND(C221 &gt;= 'Campaign Metadata'!J$3, C221 &lt;= 'Campaign Metadata'!H$3),
  'Campaign Metadata'!A$3,
IF(
  AND(C221 &gt;= 'Campaign Metadata'!J$4, C221 &lt;= 'Campaign Metadata'!H$4),
  'Campaign Metadata'!A$4,
IF(
  AND(C221 &gt;= 'Campaign Metadata'!J$5, C221 &lt;= 'Campaign Metadata'!H$5),
  'Campaign Metadata'!A$5,
"Outside Campaign"
))))
</f>
        <v>SummerSplash</v>
      </c>
      <c r="E221" s="9" t="s">
        <v>47</v>
      </c>
      <c r="F221" s="9" t="s">
        <v>215</v>
      </c>
      <c r="G221" s="11">
        <v>4494.0</v>
      </c>
      <c r="H221" s="11">
        <v>717.0</v>
      </c>
      <c r="I221" s="11">
        <v>45.0</v>
      </c>
      <c r="J221" s="11">
        <v>62916.0</v>
      </c>
      <c r="K221" s="11">
        <v>62688.0</v>
      </c>
      <c r="L221" s="11">
        <v>191.0</v>
      </c>
      <c r="M221" s="12" t="s">
        <v>25</v>
      </c>
      <c r="N221" s="12" t="s">
        <v>33</v>
      </c>
      <c r="O221" s="12" t="s">
        <v>77</v>
      </c>
      <c r="P221" s="13">
        <v>0.08353995803929049</v>
      </c>
      <c r="Q221" s="14">
        <f t="shared" si="1"/>
        <v>45535</v>
      </c>
      <c r="R221" s="13">
        <f t="shared" si="2"/>
        <v>5256</v>
      </c>
      <c r="S221" s="15" t="str">
        <f t="shared" si="3"/>
        <v>During Campaign</v>
      </c>
      <c r="T221" s="16">
        <f t="shared" si="4"/>
        <v>35504</v>
      </c>
      <c r="U221" s="15">
        <f t="shared" si="5"/>
        <v>35</v>
      </c>
    </row>
    <row r="222" ht="14.25" customHeight="1">
      <c r="A222" s="9" t="s">
        <v>276</v>
      </c>
      <c r="B222" s="9" t="s">
        <v>212</v>
      </c>
      <c r="C222" s="10">
        <v>45735.0</v>
      </c>
      <c r="D222" s="10" t="str">
        <f>IF(
  AND(C222 &gt;= 'Campaign Metadata'!J$2, C222 &lt;= 'Campaign Metadata'!H$2),
  'Campaign Metadata'!A$2,
IF(
  AND(C222 &gt;= 'Campaign Metadata'!J$3, C222 &lt;= 'Campaign Metadata'!H$3),
  'Campaign Metadata'!A$3,
IF(
  AND(C222 &gt;= 'Campaign Metadata'!J$4, C222 &lt;= 'Campaign Metadata'!H$4),
  'Campaign Metadata'!A$4,
IF(
  AND(C222 &gt;= 'Campaign Metadata'!J$5, C222 &lt;= 'Campaign Metadata'!H$5),
  'Campaign Metadata'!A$5,
"Outside Campaign"
))))
</f>
        <v>Outside Campaign</v>
      </c>
      <c r="E222" s="9" t="s">
        <v>23</v>
      </c>
      <c r="F222" s="9" t="s">
        <v>227</v>
      </c>
      <c r="G222" s="11">
        <v>3160.0</v>
      </c>
      <c r="H222" s="11">
        <v>204.0</v>
      </c>
      <c r="I222" s="11">
        <v>297.0</v>
      </c>
      <c r="J222" s="11">
        <v>44240.0</v>
      </c>
      <c r="K222" s="11">
        <v>43666.0</v>
      </c>
      <c r="L222" s="11">
        <v>49.0</v>
      </c>
      <c r="M222" s="12" t="s">
        <v>38</v>
      </c>
      <c r="N222" s="12" t="s">
        <v>67</v>
      </c>
      <c r="O222" s="12" t="s">
        <v>26</v>
      </c>
      <c r="P222" s="13">
        <v>0.08275316455696202</v>
      </c>
      <c r="Q222" s="14">
        <f t="shared" si="1"/>
        <v>45735</v>
      </c>
      <c r="R222" s="13">
        <f t="shared" si="2"/>
        <v>3661</v>
      </c>
      <c r="S222" s="15" t="str">
        <f t="shared" si="3"/>
        <v>Before Campaign</v>
      </c>
      <c r="T222" s="16">
        <f t="shared" si="4"/>
        <v>-19022</v>
      </c>
      <c r="U222" s="15">
        <f t="shared" si="5"/>
        <v>12</v>
      </c>
    </row>
    <row r="223" ht="14.25" customHeight="1">
      <c r="A223" s="9" t="s">
        <v>277</v>
      </c>
      <c r="B223" s="9" t="s">
        <v>212</v>
      </c>
      <c r="C223" s="10">
        <v>45460.0</v>
      </c>
      <c r="D223" s="10" t="str">
        <f>IF(
  AND(C223 &gt;= 'Campaign Metadata'!J$2, C223 &lt;= 'Campaign Metadata'!H$2),
  'Campaign Metadata'!A$2,
IF(
  AND(C223 &gt;= 'Campaign Metadata'!J$3, C223 &lt;= 'Campaign Metadata'!H$3),
  'Campaign Metadata'!A$3,
IF(
  AND(C223 &gt;= 'Campaign Metadata'!J$4, C223 &lt;= 'Campaign Metadata'!H$4),
  'Campaign Metadata'!A$4,
IF(
  AND(C223 &gt;= 'Campaign Metadata'!J$5, C223 &lt;= 'Campaign Metadata'!H$5),
  'Campaign Metadata'!A$5,
"Outside Campaign"
))))
</f>
        <v>SummerSplash</v>
      </c>
      <c r="E223" s="9" t="s">
        <v>28</v>
      </c>
      <c r="F223" s="9" t="s">
        <v>217</v>
      </c>
      <c r="G223" s="11">
        <v>954.0</v>
      </c>
      <c r="H223" s="11">
        <v>324.0</v>
      </c>
      <c r="I223" s="11">
        <v>288.0</v>
      </c>
      <c r="J223" s="11">
        <v>19080.0</v>
      </c>
      <c r="K223" s="11">
        <v>18859.0</v>
      </c>
      <c r="L223" s="11">
        <v>21.0</v>
      </c>
      <c r="M223" s="12" t="s">
        <v>38</v>
      </c>
      <c r="N223" s="12" t="s">
        <v>26</v>
      </c>
      <c r="O223" s="12" t="s">
        <v>26</v>
      </c>
      <c r="P223" s="13">
        <v>0.0820754716981132</v>
      </c>
      <c r="Q223" s="14">
        <f t="shared" si="1"/>
        <v>45460</v>
      </c>
      <c r="R223" s="13">
        <f t="shared" si="2"/>
        <v>1566</v>
      </c>
      <c r="S223" s="15" t="str">
        <f t="shared" si="3"/>
        <v>During Campaign</v>
      </c>
      <c r="T223" s="16">
        <f t="shared" si="4"/>
        <v>-24807</v>
      </c>
      <c r="U223" s="15">
        <f t="shared" si="5"/>
        <v>25</v>
      </c>
    </row>
    <row r="224" ht="14.25" customHeight="1">
      <c r="A224" s="9" t="s">
        <v>278</v>
      </c>
      <c r="B224" s="9" t="s">
        <v>212</v>
      </c>
      <c r="C224" s="10">
        <v>45603.0</v>
      </c>
      <c r="D224" s="10" t="str">
        <f>IF(
  AND(C224 &gt;= 'Campaign Metadata'!J$2, C224 &lt;= 'Campaign Metadata'!H$2),
  'Campaign Metadata'!A$2,
IF(
  AND(C224 &gt;= 'Campaign Metadata'!J$3, C224 &lt;= 'Campaign Metadata'!H$3),
  'Campaign Metadata'!A$3,
IF(
  AND(C224 &gt;= 'Campaign Metadata'!J$4, C224 &lt;= 'Campaign Metadata'!H$4),
  'Campaign Metadata'!A$4,
IF(
  AND(C224 &gt;= 'Campaign Metadata'!J$5, C224 &lt;= 'Campaign Metadata'!H$5),
  'Campaign Metadata'!A$5,
"Outside Campaign"
))))
</f>
        <v>FestiveRadiance</v>
      </c>
      <c r="E224" s="9" t="s">
        <v>31</v>
      </c>
      <c r="F224" s="9" t="s">
        <v>213</v>
      </c>
      <c r="G224" s="11">
        <v>1121.0</v>
      </c>
      <c r="H224" s="11">
        <v>135.0</v>
      </c>
      <c r="I224" s="11">
        <v>18.0</v>
      </c>
      <c r="J224" s="11">
        <v>15694.0</v>
      </c>
      <c r="K224" s="11">
        <v>14957.0</v>
      </c>
      <c r="L224" s="11">
        <v>99.0</v>
      </c>
      <c r="M224" s="12" t="s">
        <v>25</v>
      </c>
      <c r="N224" s="12" t="s">
        <v>26</v>
      </c>
      <c r="O224" s="12" t="s">
        <v>26</v>
      </c>
      <c r="P224" s="13">
        <v>0.08117752007136485</v>
      </c>
      <c r="Q224" s="14">
        <f t="shared" si="1"/>
        <v>45603</v>
      </c>
      <c r="R224" s="13">
        <f t="shared" si="2"/>
        <v>1274</v>
      </c>
      <c r="S224" s="15" t="str">
        <f t="shared" si="3"/>
        <v>During Campaign</v>
      </c>
      <c r="T224" s="16">
        <f t="shared" si="4"/>
        <v>-3902</v>
      </c>
      <c r="U224" s="15">
        <f t="shared" si="5"/>
        <v>45</v>
      </c>
    </row>
    <row r="225" ht="14.25" customHeight="1">
      <c r="A225" s="9" t="s">
        <v>279</v>
      </c>
      <c r="B225" s="9" t="s">
        <v>212</v>
      </c>
      <c r="C225" s="10">
        <v>45586.0</v>
      </c>
      <c r="D225" s="10" t="str">
        <f>IF(
  AND(C225 &gt;= 'Campaign Metadata'!J$2, C225 &lt;= 'Campaign Metadata'!H$2),
  'Campaign Metadata'!A$2,
IF(
  AND(C225 &gt;= 'Campaign Metadata'!J$3, C225 &lt;= 'Campaign Metadata'!H$3),
  'Campaign Metadata'!A$3,
IF(
  AND(C225 &gt;= 'Campaign Metadata'!J$4, C225 &lt;= 'Campaign Metadata'!H$4),
  'Campaign Metadata'!A$4,
IF(
  AND(C225 &gt;= 'Campaign Metadata'!J$5, C225 &lt;= 'Campaign Metadata'!H$5),
  'Campaign Metadata'!A$5,
"Outside Campaign"
))))
</f>
        <v>FestiveRadiance</v>
      </c>
      <c r="E225" s="9" t="s">
        <v>23</v>
      </c>
      <c r="F225" s="9" t="s">
        <v>227</v>
      </c>
      <c r="G225" s="11">
        <v>2825.0</v>
      </c>
      <c r="H225" s="11">
        <v>535.0</v>
      </c>
      <c r="I225" s="11">
        <v>295.0</v>
      </c>
      <c r="J225" s="11">
        <v>45200.0</v>
      </c>
      <c r="K225" s="11">
        <v>44739.0</v>
      </c>
      <c r="L225" s="11">
        <v>169.0</v>
      </c>
      <c r="M225" s="12" t="s">
        <v>25</v>
      </c>
      <c r="N225" s="12" t="s">
        <v>26</v>
      </c>
      <c r="O225" s="12" t="s">
        <v>26</v>
      </c>
      <c r="P225" s="13">
        <v>0.08086283185840708</v>
      </c>
      <c r="Q225" s="14">
        <f t="shared" si="1"/>
        <v>45586</v>
      </c>
      <c r="R225" s="13">
        <f t="shared" si="2"/>
        <v>3655</v>
      </c>
      <c r="S225" s="15" t="str">
        <f t="shared" si="3"/>
        <v>During Campaign</v>
      </c>
      <c r="T225" s="16">
        <f t="shared" si="4"/>
        <v>29782</v>
      </c>
      <c r="U225" s="15">
        <f t="shared" si="5"/>
        <v>43</v>
      </c>
    </row>
    <row r="226" ht="14.25" customHeight="1">
      <c r="A226" s="9" t="s">
        <v>280</v>
      </c>
      <c r="B226" s="9" t="s">
        <v>212</v>
      </c>
      <c r="C226" s="10">
        <v>45658.0</v>
      </c>
      <c r="D226" s="10" t="str">
        <f>IF(
  AND(C226 &gt;= 'Campaign Metadata'!J$2, C226 &lt;= 'Campaign Metadata'!H$2),
  'Campaign Metadata'!A$2,
IF(
  AND(C226 &gt;= 'Campaign Metadata'!J$3, C226 &lt;= 'Campaign Metadata'!H$3),
  'Campaign Metadata'!A$3,
IF(
  AND(C226 &gt;= 'Campaign Metadata'!J$4, C226 &lt;= 'Campaign Metadata'!H$4),
  'Campaign Metadata'!A$4,
IF(
  AND(C226 &gt;= 'Campaign Metadata'!J$5, C226 &lt;= 'Campaign Metadata'!H$5),
  'Campaign Metadata'!A$5,
"Outside Campaign"
))))
</f>
        <v>NewYearRefresh</v>
      </c>
      <c r="E226" s="9" t="s">
        <v>47</v>
      </c>
      <c r="F226" s="9" t="s">
        <v>215</v>
      </c>
      <c r="G226" s="11">
        <v>3535.0</v>
      </c>
      <c r="H226" s="11">
        <v>494.0</v>
      </c>
      <c r="I226" s="11">
        <v>152.0</v>
      </c>
      <c r="J226" s="11">
        <v>53025.0</v>
      </c>
      <c r="K226" s="11">
        <v>52791.0</v>
      </c>
      <c r="L226" s="11">
        <v>44.0</v>
      </c>
      <c r="M226" s="12" t="s">
        <v>25</v>
      </c>
      <c r="N226" s="12" t="s">
        <v>26</v>
      </c>
      <c r="O226" s="12" t="s">
        <v>26</v>
      </c>
      <c r="P226" s="13">
        <v>0.07884959924563885</v>
      </c>
      <c r="Q226" s="14">
        <f t="shared" si="1"/>
        <v>45658</v>
      </c>
      <c r="R226" s="13">
        <f t="shared" si="2"/>
        <v>4181</v>
      </c>
      <c r="S226" s="15" t="str">
        <f t="shared" si="3"/>
        <v>During Campaign</v>
      </c>
      <c r="T226" s="16">
        <f t="shared" si="4"/>
        <v>8052</v>
      </c>
      <c r="U226" s="15">
        <f t="shared" si="5"/>
        <v>1</v>
      </c>
    </row>
    <row r="227" ht="14.25" customHeight="1">
      <c r="A227" s="9" t="s">
        <v>281</v>
      </c>
      <c r="B227" s="9" t="s">
        <v>212</v>
      </c>
      <c r="C227" s="10">
        <v>45459.0</v>
      </c>
      <c r="D227" s="10" t="str">
        <f>IF(
  AND(C227 &gt;= 'Campaign Metadata'!J$2, C227 &lt;= 'Campaign Metadata'!H$2),
  'Campaign Metadata'!A$2,
IF(
  AND(C227 &gt;= 'Campaign Metadata'!J$3, C227 &lt;= 'Campaign Metadata'!H$3),
  'Campaign Metadata'!A$3,
IF(
  AND(C227 &gt;= 'Campaign Metadata'!J$4, C227 &lt;= 'Campaign Metadata'!H$4),
  'Campaign Metadata'!A$4,
IF(
  AND(C227 &gt;= 'Campaign Metadata'!J$5, C227 &lt;= 'Campaign Metadata'!H$5),
  'Campaign Metadata'!A$5,
"Outside Campaign"
))))
</f>
        <v>SummerSplash</v>
      </c>
      <c r="E227" s="9" t="s">
        <v>23</v>
      </c>
      <c r="F227" s="9" t="s">
        <v>227</v>
      </c>
      <c r="G227" s="11">
        <v>1702.0</v>
      </c>
      <c r="H227" s="11">
        <v>750.0</v>
      </c>
      <c r="I227" s="11">
        <v>179.0</v>
      </c>
      <c r="J227" s="11">
        <v>34040.0</v>
      </c>
      <c r="K227" s="11">
        <v>33174.0</v>
      </c>
      <c r="L227" s="11">
        <v>76.0</v>
      </c>
      <c r="M227" s="12" t="s">
        <v>33</v>
      </c>
      <c r="N227" s="12" t="s">
        <v>26</v>
      </c>
      <c r="O227" s="12" t="s">
        <v>26</v>
      </c>
      <c r="P227" s="13">
        <v>0.07729142185663924</v>
      </c>
      <c r="Q227" s="14">
        <f t="shared" si="1"/>
        <v>45459</v>
      </c>
      <c r="R227" s="13">
        <f t="shared" si="2"/>
        <v>2631</v>
      </c>
      <c r="S227" s="15" t="str">
        <f t="shared" si="3"/>
        <v>During Campaign</v>
      </c>
      <c r="T227" s="16">
        <f t="shared" si="4"/>
        <v>-19617</v>
      </c>
      <c r="U227" s="15">
        <f t="shared" si="5"/>
        <v>24</v>
      </c>
    </row>
    <row r="228" ht="14.25" customHeight="1">
      <c r="A228" s="9" t="s">
        <v>282</v>
      </c>
      <c r="B228" s="9" t="s">
        <v>212</v>
      </c>
      <c r="C228" s="10">
        <v>45750.0</v>
      </c>
      <c r="D228" s="10" t="str">
        <f>IF(
  AND(C228 &gt;= 'Campaign Metadata'!J$2, C228 &lt;= 'Campaign Metadata'!H$2),
  'Campaign Metadata'!A$2,
IF(
  AND(C228 &gt;= 'Campaign Metadata'!J$3, C228 &lt;= 'Campaign Metadata'!H$3),
  'Campaign Metadata'!A$3,
IF(
  AND(C228 &gt;= 'Campaign Metadata'!J$4, C228 &lt;= 'Campaign Metadata'!H$4),
  'Campaign Metadata'!A$4,
IF(
  AND(C228 &gt;= 'Campaign Metadata'!J$5, C228 &lt;= 'Campaign Metadata'!H$5),
  'Campaign Metadata'!A$5,
"Outside Campaign"
))))
</f>
        <v>Outside Campaign</v>
      </c>
      <c r="E228" s="9" t="s">
        <v>35</v>
      </c>
      <c r="F228" s="9" t="s">
        <v>224</v>
      </c>
      <c r="G228" s="11">
        <v>4054.0</v>
      </c>
      <c r="H228" s="11">
        <v>389.0</v>
      </c>
      <c r="I228" s="11">
        <v>493.0</v>
      </c>
      <c r="J228" s="11">
        <v>64864.0</v>
      </c>
      <c r="K228" s="11">
        <v>64383.0</v>
      </c>
      <c r="L228" s="11">
        <v>117.0</v>
      </c>
      <c r="M228" s="12" t="s">
        <v>25</v>
      </c>
      <c r="N228" s="12" t="s">
        <v>77</v>
      </c>
      <c r="O228" s="12" t="s">
        <v>26</v>
      </c>
      <c r="P228" s="13">
        <v>0.07609768130241737</v>
      </c>
      <c r="Q228" s="14">
        <f t="shared" si="1"/>
        <v>45750</v>
      </c>
      <c r="R228" s="13">
        <f t="shared" si="2"/>
        <v>4936</v>
      </c>
      <c r="S228" s="15" t="str">
        <f t="shared" si="3"/>
        <v>Before Campaign</v>
      </c>
      <c r="T228" s="16">
        <f t="shared" si="4"/>
        <v>31209</v>
      </c>
      <c r="U228" s="15">
        <f t="shared" si="5"/>
        <v>14</v>
      </c>
    </row>
    <row r="229" ht="14.25" customHeight="1">
      <c r="A229" s="9" t="s">
        <v>283</v>
      </c>
      <c r="B229" s="9" t="s">
        <v>212</v>
      </c>
      <c r="C229" s="10">
        <v>45727.0</v>
      </c>
      <c r="D229" s="10" t="str">
        <f>IF(
  AND(C229 &gt;= 'Campaign Metadata'!J$2, C229 &lt;= 'Campaign Metadata'!H$2),
  'Campaign Metadata'!A$2,
IF(
  AND(C229 &gt;= 'Campaign Metadata'!J$3, C229 &lt;= 'Campaign Metadata'!H$3),
  'Campaign Metadata'!A$3,
IF(
  AND(C229 &gt;= 'Campaign Metadata'!J$4, C229 &lt;= 'Campaign Metadata'!H$4),
  'Campaign Metadata'!A$4,
IF(
  AND(C229 &gt;= 'Campaign Metadata'!J$5, C229 &lt;= 'Campaign Metadata'!H$5),
  'Campaign Metadata'!A$5,
"Outside Campaign"
))))
</f>
        <v>Outside Campaign</v>
      </c>
      <c r="E229" s="9" t="s">
        <v>31</v>
      </c>
      <c r="F229" s="9" t="s">
        <v>213</v>
      </c>
      <c r="G229" s="11">
        <v>1950.0</v>
      </c>
      <c r="H229" s="11">
        <v>295.0</v>
      </c>
      <c r="I229" s="11">
        <v>478.0</v>
      </c>
      <c r="J229" s="11">
        <v>37050.0</v>
      </c>
      <c r="K229" s="11">
        <v>36272.0</v>
      </c>
      <c r="L229" s="11">
        <v>119.0</v>
      </c>
      <c r="M229" s="12" t="s">
        <v>25</v>
      </c>
      <c r="N229" s="12" t="s">
        <v>26</v>
      </c>
      <c r="O229" s="12" t="s">
        <v>26</v>
      </c>
      <c r="P229" s="13">
        <v>0.07349527665317139</v>
      </c>
      <c r="Q229" s="14">
        <f t="shared" si="1"/>
        <v>45727</v>
      </c>
      <c r="R229" s="13">
        <f t="shared" si="2"/>
        <v>2723</v>
      </c>
      <c r="S229" s="15" t="str">
        <f t="shared" si="3"/>
        <v>Before Campaign</v>
      </c>
      <c r="T229" s="16">
        <f t="shared" si="4"/>
        <v>-28111</v>
      </c>
      <c r="U229" s="15">
        <f t="shared" si="5"/>
        <v>11</v>
      </c>
    </row>
    <row r="230" ht="14.25" customHeight="1">
      <c r="A230" s="9" t="s">
        <v>284</v>
      </c>
      <c r="B230" s="9" t="s">
        <v>212</v>
      </c>
      <c r="C230" s="10">
        <v>45489.0</v>
      </c>
      <c r="D230" s="10" t="str">
        <f>IF(
  AND(C230 &gt;= 'Campaign Metadata'!J$2, C230 &lt;= 'Campaign Metadata'!H$2),
  'Campaign Metadata'!A$2,
IF(
  AND(C230 &gt;= 'Campaign Metadata'!J$3, C230 &lt;= 'Campaign Metadata'!H$3),
  'Campaign Metadata'!A$3,
IF(
  AND(C230 &gt;= 'Campaign Metadata'!J$4, C230 &lt;= 'Campaign Metadata'!H$4),
  'Campaign Metadata'!A$4,
IF(
  AND(C230 &gt;= 'Campaign Metadata'!J$5, C230 &lt;= 'Campaign Metadata'!H$5),
  'Campaign Metadata'!A$5,
"Outside Campaign"
))))
</f>
        <v>SummerSplash</v>
      </c>
      <c r="E230" s="9" t="s">
        <v>35</v>
      </c>
      <c r="F230" s="9" t="s">
        <v>224</v>
      </c>
      <c r="G230" s="11">
        <v>4725.0</v>
      </c>
      <c r="H230" s="11">
        <v>400.0</v>
      </c>
      <c r="I230" s="11">
        <v>362.0</v>
      </c>
      <c r="J230" s="11">
        <v>75600.0</v>
      </c>
      <c r="K230" s="11">
        <v>74927.0</v>
      </c>
      <c r="L230" s="11">
        <v>43.0</v>
      </c>
      <c r="M230" s="12" t="s">
        <v>38</v>
      </c>
      <c r="N230" s="12" t="s">
        <v>26</v>
      </c>
      <c r="O230" s="12" t="s">
        <v>26</v>
      </c>
      <c r="P230" s="13">
        <v>0.07257936507936508</v>
      </c>
      <c r="Q230" s="14">
        <f t="shared" si="1"/>
        <v>45489</v>
      </c>
      <c r="R230" s="13">
        <f t="shared" si="2"/>
        <v>5487</v>
      </c>
      <c r="S230" s="15" t="str">
        <f t="shared" si="3"/>
        <v>During Campaign</v>
      </c>
      <c r="T230" s="16">
        <f t="shared" si="4"/>
        <v>38655</v>
      </c>
      <c r="U230" s="15">
        <f t="shared" si="5"/>
        <v>29</v>
      </c>
    </row>
    <row r="231" ht="14.25" customHeight="1">
      <c r="A231" s="9" t="s">
        <v>285</v>
      </c>
      <c r="B231" s="9" t="s">
        <v>212</v>
      </c>
      <c r="C231" s="10">
        <v>45771.0</v>
      </c>
      <c r="D231" s="10" t="str">
        <f>IF(
  AND(C231 &gt;= 'Campaign Metadata'!J$2, C231 &lt;= 'Campaign Metadata'!H$2),
  'Campaign Metadata'!A$2,
IF(
  AND(C231 &gt;= 'Campaign Metadata'!J$3, C231 &lt;= 'Campaign Metadata'!H$3),
  'Campaign Metadata'!A$3,
IF(
  AND(C231 &gt;= 'Campaign Metadata'!J$4, C231 &lt;= 'Campaign Metadata'!H$4),
  'Campaign Metadata'!A$4,
IF(
  AND(C231 &gt;= 'Campaign Metadata'!J$5, C231 &lt;= 'Campaign Metadata'!H$5),
  'Campaign Metadata'!A$5,
"Outside Campaign"
))))
</f>
        <v>Outside Campaign</v>
      </c>
      <c r="E231" s="9" t="s">
        <v>50</v>
      </c>
      <c r="F231" s="9" t="s">
        <v>219</v>
      </c>
      <c r="G231" s="11">
        <v>3731.0</v>
      </c>
      <c r="H231" s="11">
        <v>115.0</v>
      </c>
      <c r="I231" s="11">
        <v>135.0</v>
      </c>
      <c r="J231" s="11">
        <v>55965.0</v>
      </c>
      <c r="K231" s="11">
        <v>55436.0</v>
      </c>
      <c r="L231" s="11">
        <v>103.0</v>
      </c>
      <c r="M231" s="12" t="s">
        <v>25</v>
      </c>
      <c r="N231" s="12" t="s">
        <v>26</v>
      </c>
      <c r="O231" s="12" t="s">
        <v>26</v>
      </c>
      <c r="P231" s="13">
        <v>0.07113374430447601</v>
      </c>
      <c r="Q231" s="14">
        <f t="shared" si="1"/>
        <v>45771</v>
      </c>
      <c r="R231" s="13">
        <f t="shared" si="2"/>
        <v>3981</v>
      </c>
      <c r="S231" s="15" t="str">
        <f t="shared" si="3"/>
        <v>Before Campaign</v>
      </c>
      <c r="T231" s="16">
        <f t="shared" si="4"/>
        <v>-19491</v>
      </c>
      <c r="U231" s="15">
        <f t="shared" si="5"/>
        <v>17</v>
      </c>
    </row>
    <row r="232" ht="14.25" customHeight="1">
      <c r="A232" s="9" t="s">
        <v>286</v>
      </c>
      <c r="B232" s="9" t="s">
        <v>212</v>
      </c>
      <c r="C232" s="10">
        <v>45467.0</v>
      </c>
      <c r="D232" s="10" t="str">
        <f>IF(
  AND(C232 &gt;= 'Campaign Metadata'!J$2, C232 &lt;= 'Campaign Metadata'!H$2),
  'Campaign Metadata'!A$2,
IF(
  AND(C232 &gt;= 'Campaign Metadata'!J$3, C232 &lt;= 'Campaign Metadata'!H$3),
  'Campaign Metadata'!A$3,
IF(
  AND(C232 &gt;= 'Campaign Metadata'!J$4, C232 &lt;= 'Campaign Metadata'!H$4),
  'Campaign Metadata'!A$4,
IF(
  AND(C232 &gt;= 'Campaign Metadata'!J$5, C232 &lt;= 'Campaign Metadata'!H$5),
  'Campaign Metadata'!A$5,
"Outside Campaign"
))))
</f>
        <v>SummerSplash</v>
      </c>
      <c r="E232" s="9" t="s">
        <v>47</v>
      </c>
      <c r="F232" s="9" t="s">
        <v>215</v>
      </c>
      <c r="G232" s="11">
        <v>3860.0</v>
      </c>
      <c r="H232" s="11">
        <v>201.0</v>
      </c>
      <c r="I232" s="11">
        <v>279.0</v>
      </c>
      <c r="J232" s="11">
        <v>61760.0</v>
      </c>
      <c r="K232" s="11">
        <v>61660.0</v>
      </c>
      <c r="L232" s="11">
        <v>235.0</v>
      </c>
      <c r="M232" s="12" t="s">
        <v>25</v>
      </c>
      <c r="N232" s="12" t="s">
        <v>26</v>
      </c>
      <c r="O232" s="12" t="s">
        <v>26</v>
      </c>
      <c r="P232" s="13">
        <v>0.0702720207253886</v>
      </c>
      <c r="Q232" s="14">
        <f t="shared" si="1"/>
        <v>45467</v>
      </c>
      <c r="R232" s="13">
        <f t="shared" si="2"/>
        <v>4340</v>
      </c>
      <c r="S232" s="15" t="str">
        <f t="shared" si="3"/>
        <v>During Campaign</v>
      </c>
      <c r="T232" s="16">
        <f t="shared" si="4"/>
        <v>6224</v>
      </c>
      <c r="U232" s="15">
        <f t="shared" si="5"/>
        <v>26</v>
      </c>
    </row>
    <row r="233" ht="14.25" customHeight="1">
      <c r="A233" s="9" t="s">
        <v>287</v>
      </c>
      <c r="B233" s="9" t="s">
        <v>212</v>
      </c>
      <c r="C233" s="10">
        <v>45775.0</v>
      </c>
      <c r="D233" s="10" t="str">
        <f>IF(
  AND(C233 &gt;= 'Campaign Metadata'!J$2, C233 &lt;= 'Campaign Metadata'!H$2),
  'Campaign Metadata'!A$2,
IF(
  AND(C233 &gt;= 'Campaign Metadata'!J$3, C233 &lt;= 'Campaign Metadata'!H$3),
  'Campaign Metadata'!A$3,
IF(
  AND(C233 &gt;= 'Campaign Metadata'!J$4, C233 &lt;= 'Campaign Metadata'!H$4),
  'Campaign Metadata'!A$4,
IF(
  AND(C233 &gt;= 'Campaign Metadata'!J$5, C233 &lt;= 'Campaign Metadata'!H$5),
  'Campaign Metadata'!A$5,
"Outside Campaign"
))))
</f>
        <v>Outside Campaign</v>
      </c>
      <c r="E233" s="9" t="s">
        <v>35</v>
      </c>
      <c r="F233" s="9" t="s">
        <v>224</v>
      </c>
      <c r="G233" s="11">
        <v>3577.0</v>
      </c>
      <c r="H233" s="11">
        <v>596.0</v>
      </c>
      <c r="I233" s="11">
        <v>493.0</v>
      </c>
      <c r="J233" s="11">
        <v>67963.0</v>
      </c>
      <c r="K233" s="11">
        <v>67839.0</v>
      </c>
      <c r="L233" s="11">
        <v>53.0</v>
      </c>
      <c r="M233" s="12" t="s">
        <v>25</v>
      </c>
      <c r="N233" s="12" t="s">
        <v>26</v>
      </c>
      <c r="O233" s="12" t="s">
        <v>26</v>
      </c>
      <c r="P233" s="13">
        <v>0.06865500345776378</v>
      </c>
      <c r="Q233" s="14">
        <f t="shared" si="1"/>
        <v>45775</v>
      </c>
      <c r="R233" s="13">
        <f t="shared" si="2"/>
        <v>4666</v>
      </c>
      <c r="S233" s="15" t="str">
        <f t="shared" si="3"/>
        <v>Before Campaign</v>
      </c>
      <c r="T233" s="16">
        <f t="shared" si="4"/>
        <v>6179</v>
      </c>
      <c r="U233" s="15">
        <f t="shared" si="5"/>
        <v>18</v>
      </c>
    </row>
    <row r="234" ht="14.25" customHeight="1">
      <c r="A234" s="9" t="s">
        <v>288</v>
      </c>
      <c r="B234" s="9" t="s">
        <v>212</v>
      </c>
      <c r="C234" s="10">
        <v>45587.0</v>
      </c>
      <c r="D234" s="10" t="str">
        <f>IF(
  AND(C234 &gt;= 'Campaign Metadata'!J$2, C234 &lt;= 'Campaign Metadata'!H$2),
  'Campaign Metadata'!A$2,
IF(
  AND(C234 &gt;= 'Campaign Metadata'!J$3, C234 &lt;= 'Campaign Metadata'!H$3),
  'Campaign Metadata'!A$3,
IF(
  AND(C234 &gt;= 'Campaign Metadata'!J$4, C234 &lt;= 'Campaign Metadata'!H$4),
  'Campaign Metadata'!A$4,
IF(
  AND(C234 &gt;= 'Campaign Metadata'!J$5, C234 &lt;= 'Campaign Metadata'!H$5),
  'Campaign Metadata'!A$5,
"Outside Campaign"
))))
</f>
        <v>FestiveRadiance</v>
      </c>
      <c r="E234" s="9" t="s">
        <v>50</v>
      </c>
      <c r="F234" s="9" t="s">
        <v>219</v>
      </c>
      <c r="G234" s="11">
        <v>4782.0</v>
      </c>
      <c r="H234" s="11">
        <v>721.0</v>
      </c>
      <c r="I234" s="11">
        <v>82.0</v>
      </c>
      <c r="J234" s="11">
        <v>86076.0</v>
      </c>
      <c r="K234" s="11">
        <v>85339.0</v>
      </c>
      <c r="L234" s="11">
        <v>19.0</v>
      </c>
      <c r="M234" s="12" t="s">
        <v>33</v>
      </c>
      <c r="N234" s="12" t="s">
        <v>26</v>
      </c>
      <c r="O234" s="12" t="s">
        <v>26</v>
      </c>
      <c r="P234" s="13">
        <v>0.06488452065616432</v>
      </c>
      <c r="Q234" s="14">
        <f t="shared" si="1"/>
        <v>45587</v>
      </c>
      <c r="R234" s="13">
        <f t="shared" si="2"/>
        <v>5585</v>
      </c>
      <c r="S234" s="15" t="str">
        <f t="shared" si="3"/>
        <v>During Campaign</v>
      </c>
      <c r="T234" s="16">
        <f t="shared" si="4"/>
        <v>17500</v>
      </c>
      <c r="U234" s="15">
        <f t="shared" si="5"/>
        <v>43</v>
      </c>
    </row>
    <row r="235" ht="14.25" customHeight="1">
      <c r="A235" s="9" t="s">
        <v>289</v>
      </c>
      <c r="B235" s="9" t="s">
        <v>212</v>
      </c>
      <c r="C235" s="10">
        <v>45569.0</v>
      </c>
      <c r="D235" s="10" t="str">
        <f>IF(
  AND(C235 &gt;= 'Campaign Metadata'!J$2, C235 &lt;= 'Campaign Metadata'!H$2),
  'Campaign Metadata'!A$2,
IF(
  AND(C235 &gt;= 'Campaign Metadata'!J$3, C235 &lt;= 'Campaign Metadata'!H$3),
  'Campaign Metadata'!A$3,
IF(
  AND(C235 &gt;= 'Campaign Metadata'!J$4, C235 &lt;= 'Campaign Metadata'!H$4),
  'Campaign Metadata'!A$4,
IF(
  AND(C235 &gt;= 'Campaign Metadata'!J$5, C235 &lt;= 'Campaign Metadata'!H$5),
  'Campaign Metadata'!A$5,
"Outside Campaign"
))))
</f>
        <v>FestiveRadiance</v>
      </c>
      <c r="E235" s="9" t="s">
        <v>50</v>
      </c>
      <c r="F235" s="9" t="s">
        <v>219</v>
      </c>
      <c r="G235" s="11">
        <v>4187.0</v>
      </c>
      <c r="H235" s="11">
        <v>66.0</v>
      </c>
      <c r="I235" s="11">
        <v>31.0</v>
      </c>
      <c r="J235" s="11">
        <v>66992.0</v>
      </c>
      <c r="K235" s="11">
        <v>66614.0</v>
      </c>
      <c r="L235" s="11">
        <v>62.0</v>
      </c>
      <c r="M235" s="12" t="s">
        <v>38</v>
      </c>
      <c r="N235" s="12" t="s">
        <v>26</v>
      </c>
      <c r="O235" s="12" t="s">
        <v>26</v>
      </c>
      <c r="P235" s="13">
        <v>0.0639479340816814</v>
      </c>
      <c r="Q235" s="14">
        <f t="shared" si="1"/>
        <v>45569</v>
      </c>
      <c r="R235" s="13">
        <f t="shared" si="2"/>
        <v>4284</v>
      </c>
      <c r="S235" s="15" t="str">
        <f t="shared" si="3"/>
        <v>During Campaign</v>
      </c>
      <c r="T235" s="16">
        <f t="shared" si="4"/>
        <v>-18725</v>
      </c>
      <c r="U235" s="15">
        <f t="shared" si="5"/>
        <v>40</v>
      </c>
    </row>
    <row r="236" ht="14.25" customHeight="1">
      <c r="A236" s="9" t="s">
        <v>290</v>
      </c>
      <c r="B236" s="9" t="s">
        <v>212</v>
      </c>
      <c r="C236" s="10">
        <v>45788.0</v>
      </c>
      <c r="D236" s="10" t="str">
        <f>IF(
  AND(C236 &gt;= 'Campaign Metadata'!J$2, C236 &lt;= 'Campaign Metadata'!H$2),
  'Campaign Metadata'!A$2,
IF(
  AND(C236 &gt;= 'Campaign Metadata'!J$3, C236 &lt;= 'Campaign Metadata'!H$3),
  'Campaign Metadata'!A$3,
IF(
  AND(C236 &gt;= 'Campaign Metadata'!J$4, C236 &lt;= 'Campaign Metadata'!H$4),
  'Campaign Metadata'!A$4,
IF(
  AND(C236 &gt;= 'Campaign Metadata'!J$5, C236 &lt;= 'Campaign Metadata'!H$5),
  'Campaign Metadata'!A$5,
"Outside Campaign"
))))
</f>
        <v>Outside Campaign</v>
      </c>
      <c r="E236" s="9" t="s">
        <v>28</v>
      </c>
      <c r="F236" s="9" t="s">
        <v>217</v>
      </c>
      <c r="G236" s="11">
        <v>2493.0</v>
      </c>
      <c r="H236" s="11">
        <v>97.0</v>
      </c>
      <c r="I236" s="11">
        <v>44.0</v>
      </c>
      <c r="J236" s="11">
        <v>42381.0</v>
      </c>
      <c r="K236" s="11">
        <v>41991.0</v>
      </c>
      <c r="L236" s="11">
        <v>242.0</v>
      </c>
      <c r="M236" s="12" t="s">
        <v>25</v>
      </c>
      <c r="N236" s="12" t="s">
        <v>67</v>
      </c>
      <c r="O236" s="12" t="s">
        <v>26</v>
      </c>
      <c r="P236" s="13">
        <v>0.062150491965739366</v>
      </c>
      <c r="Q236" s="14">
        <f t="shared" si="1"/>
        <v>45788</v>
      </c>
      <c r="R236" s="13">
        <f t="shared" si="2"/>
        <v>2634</v>
      </c>
      <c r="S236" s="15" t="str">
        <f t="shared" si="3"/>
        <v>Before Campaign</v>
      </c>
      <c r="T236" s="16">
        <f t="shared" si="4"/>
        <v>-24623</v>
      </c>
      <c r="U236" s="15">
        <f t="shared" si="5"/>
        <v>19</v>
      </c>
    </row>
    <row r="237" ht="14.25" customHeight="1">
      <c r="A237" s="9" t="s">
        <v>291</v>
      </c>
      <c r="B237" s="9" t="s">
        <v>212</v>
      </c>
      <c r="C237" s="10">
        <v>45608.0</v>
      </c>
      <c r="D237" s="10" t="str">
        <f>IF(
  AND(C237 &gt;= 'Campaign Metadata'!J$2, C237 &lt;= 'Campaign Metadata'!H$2),
  'Campaign Metadata'!A$2,
IF(
  AND(C237 &gt;= 'Campaign Metadata'!J$3, C237 &lt;= 'Campaign Metadata'!H$3),
  'Campaign Metadata'!A$3,
IF(
  AND(C237 &gt;= 'Campaign Metadata'!J$4, C237 &lt;= 'Campaign Metadata'!H$4),
  'Campaign Metadata'!A$4,
IF(
  AND(C237 &gt;= 'Campaign Metadata'!J$5, C237 &lt;= 'Campaign Metadata'!H$5),
  'Campaign Metadata'!A$5,
"Outside Campaign"
))))
</f>
        <v>FestiveRadiance</v>
      </c>
      <c r="E237" s="9" t="s">
        <v>28</v>
      </c>
      <c r="F237" s="9" t="s">
        <v>217</v>
      </c>
      <c r="G237" s="11">
        <v>3338.0</v>
      </c>
      <c r="H237" s="11">
        <v>277.0</v>
      </c>
      <c r="I237" s="11">
        <v>118.0</v>
      </c>
      <c r="J237" s="11">
        <v>60084.0</v>
      </c>
      <c r="K237" s="11">
        <v>59842.0</v>
      </c>
      <c r="L237" s="11">
        <v>252.0</v>
      </c>
      <c r="M237" s="12" t="s">
        <v>25</v>
      </c>
      <c r="N237" s="12" t="s">
        <v>26</v>
      </c>
      <c r="O237" s="12" t="s">
        <v>26</v>
      </c>
      <c r="P237" s="13">
        <v>0.062129685107516146</v>
      </c>
      <c r="Q237" s="14">
        <f t="shared" si="1"/>
        <v>45608</v>
      </c>
      <c r="R237" s="13">
        <f t="shared" si="2"/>
        <v>3733</v>
      </c>
      <c r="S237" s="15" t="str">
        <f t="shared" si="3"/>
        <v>During Campaign</v>
      </c>
      <c r="T237" s="16">
        <f t="shared" si="4"/>
        <v>17851</v>
      </c>
      <c r="U237" s="15">
        <f t="shared" si="5"/>
        <v>46</v>
      </c>
    </row>
    <row r="238" ht="14.25" customHeight="1">
      <c r="A238" s="9" t="s">
        <v>292</v>
      </c>
      <c r="B238" s="9" t="s">
        <v>212</v>
      </c>
      <c r="C238" s="10">
        <v>45757.0</v>
      </c>
      <c r="D238" s="10" t="str">
        <f>IF(
  AND(C238 &gt;= 'Campaign Metadata'!J$2, C238 &lt;= 'Campaign Metadata'!H$2),
  'Campaign Metadata'!A$2,
IF(
  AND(C238 &gt;= 'Campaign Metadata'!J$3, C238 &lt;= 'Campaign Metadata'!H$3),
  'Campaign Metadata'!A$3,
IF(
  AND(C238 &gt;= 'Campaign Metadata'!J$4, C238 &lt;= 'Campaign Metadata'!H$4),
  'Campaign Metadata'!A$4,
IF(
  AND(C238 &gt;= 'Campaign Metadata'!J$5, C238 &lt;= 'Campaign Metadata'!H$5),
  'Campaign Metadata'!A$5,
"Outside Campaign"
))))
</f>
        <v>Outside Campaign</v>
      </c>
      <c r="E238" s="9" t="s">
        <v>47</v>
      </c>
      <c r="F238" s="9" t="s">
        <v>215</v>
      </c>
      <c r="G238" s="11">
        <v>3128.0</v>
      </c>
      <c r="H238" s="11">
        <v>211.0</v>
      </c>
      <c r="I238" s="11">
        <v>197.0</v>
      </c>
      <c r="J238" s="11">
        <v>59432.0</v>
      </c>
      <c r="K238" s="11">
        <v>59182.0</v>
      </c>
      <c r="L238" s="11">
        <v>238.0</v>
      </c>
      <c r="M238" s="12" t="s">
        <v>33</v>
      </c>
      <c r="N238" s="12" t="s">
        <v>26</v>
      </c>
      <c r="O238" s="12" t="s">
        <v>26</v>
      </c>
      <c r="P238" s="13">
        <v>0.059496567505720827</v>
      </c>
      <c r="Q238" s="14">
        <f t="shared" si="1"/>
        <v>45757</v>
      </c>
      <c r="R238" s="13">
        <f t="shared" si="2"/>
        <v>3536</v>
      </c>
      <c r="S238" s="15" t="str">
        <f t="shared" si="3"/>
        <v>Before Campaign</v>
      </c>
      <c r="T238" s="16">
        <f t="shared" si="4"/>
        <v>-660</v>
      </c>
      <c r="U238" s="15">
        <f t="shared" si="5"/>
        <v>15</v>
      </c>
    </row>
    <row r="239" ht="14.25" customHeight="1">
      <c r="A239" s="9" t="s">
        <v>293</v>
      </c>
      <c r="B239" s="9" t="s">
        <v>212</v>
      </c>
      <c r="C239" s="10">
        <v>45699.0</v>
      </c>
      <c r="D239" s="10" t="str">
        <f>IF(
  AND(C239 &gt;= 'Campaign Metadata'!J$2, C239 &lt;= 'Campaign Metadata'!H$2),
  'Campaign Metadata'!A$2,
IF(
  AND(C239 &gt;= 'Campaign Metadata'!J$3, C239 &lt;= 'Campaign Metadata'!H$3),
  'Campaign Metadata'!A$3,
IF(
  AND(C239 &gt;= 'Campaign Metadata'!J$4, C239 &lt;= 'Campaign Metadata'!H$4),
  'Campaign Metadata'!A$4,
IF(
  AND(C239 &gt;= 'Campaign Metadata'!J$5, C239 &lt;= 'Campaign Metadata'!H$5),
  'Campaign Metadata'!A$5,
"Outside Campaign"
))))
</f>
        <v>NewYearRefresh</v>
      </c>
      <c r="E239" s="9" t="s">
        <v>23</v>
      </c>
      <c r="F239" s="9" t="s">
        <v>227</v>
      </c>
      <c r="G239" s="11">
        <v>3440.0</v>
      </c>
      <c r="H239" s="11">
        <v>13.0</v>
      </c>
      <c r="I239" s="11">
        <v>20.0</v>
      </c>
      <c r="J239" s="11">
        <v>58480.0</v>
      </c>
      <c r="K239" s="11">
        <v>58146.0</v>
      </c>
      <c r="L239" s="11">
        <v>210.0</v>
      </c>
      <c r="M239" s="12" t="s">
        <v>25</v>
      </c>
      <c r="N239" s="12" t="s">
        <v>61</v>
      </c>
      <c r="O239" s="12" t="s">
        <v>26</v>
      </c>
      <c r="P239" s="13">
        <v>0.05938782489740082</v>
      </c>
      <c r="Q239" s="14">
        <f t="shared" si="1"/>
        <v>45699</v>
      </c>
      <c r="R239" s="13">
        <f t="shared" si="2"/>
        <v>3473</v>
      </c>
      <c r="S239" s="15" t="str">
        <f t="shared" si="3"/>
        <v>During Campaign</v>
      </c>
      <c r="T239" s="16">
        <f t="shared" si="4"/>
        <v>-1036</v>
      </c>
      <c r="U239" s="15">
        <f t="shared" si="5"/>
        <v>7</v>
      </c>
    </row>
    <row r="240" ht="14.25" customHeight="1">
      <c r="A240" s="9" t="s">
        <v>294</v>
      </c>
      <c r="B240" s="9" t="s">
        <v>212</v>
      </c>
      <c r="C240" s="10">
        <v>45786.0</v>
      </c>
      <c r="D240" s="10" t="str">
        <f>IF(
  AND(C240 &gt;= 'Campaign Metadata'!J$2, C240 &lt;= 'Campaign Metadata'!H$2),
  'Campaign Metadata'!A$2,
IF(
  AND(C240 &gt;= 'Campaign Metadata'!J$3, C240 &lt;= 'Campaign Metadata'!H$3),
  'Campaign Metadata'!A$3,
IF(
  AND(C240 &gt;= 'Campaign Metadata'!J$4, C240 &lt;= 'Campaign Metadata'!H$4),
  'Campaign Metadata'!A$4,
IF(
  AND(C240 &gt;= 'Campaign Metadata'!J$5, C240 &lt;= 'Campaign Metadata'!H$5),
  'Campaign Metadata'!A$5,
"Outside Campaign"
))))
</f>
        <v>Outside Campaign</v>
      </c>
      <c r="E240" s="9" t="s">
        <v>50</v>
      </c>
      <c r="F240" s="9" t="s">
        <v>219</v>
      </c>
      <c r="G240" s="11">
        <v>3367.0</v>
      </c>
      <c r="H240" s="11">
        <v>302.0</v>
      </c>
      <c r="I240" s="11">
        <v>57.0</v>
      </c>
      <c r="J240" s="11">
        <v>63973.0</v>
      </c>
      <c r="K240" s="11">
        <v>63789.0</v>
      </c>
      <c r="L240" s="11">
        <v>157.0</v>
      </c>
      <c r="M240" s="12" t="s">
        <v>38</v>
      </c>
      <c r="N240" s="12" t="s">
        <v>26</v>
      </c>
      <c r="O240" s="12" t="s">
        <v>26</v>
      </c>
      <c r="P240" s="13">
        <v>0.05824332140121614</v>
      </c>
      <c r="Q240" s="14">
        <f t="shared" si="1"/>
        <v>45786</v>
      </c>
      <c r="R240" s="13">
        <f t="shared" si="2"/>
        <v>3726</v>
      </c>
      <c r="S240" s="15" t="str">
        <f t="shared" si="3"/>
        <v>Before Campaign</v>
      </c>
      <c r="T240" s="16">
        <f t="shared" si="4"/>
        <v>5643</v>
      </c>
      <c r="U240" s="15">
        <f t="shared" si="5"/>
        <v>19</v>
      </c>
    </row>
    <row r="241" ht="14.25" customHeight="1">
      <c r="A241" s="9" t="s">
        <v>295</v>
      </c>
      <c r="B241" s="9" t="s">
        <v>212</v>
      </c>
      <c r="C241" s="10">
        <v>45463.0</v>
      </c>
      <c r="D241" s="10" t="str">
        <f>IF(
  AND(C241 &gt;= 'Campaign Metadata'!J$2, C241 &lt;= 'Campaign Metadata'!H$2),
  'Campaign Metadata'!A$2,
IF(
  AND(C241 &gt;= 'Campaign Metadata'!J$3, C241 &lt;= 'Campaign Metadata'!H$3),
  'Campaign Metadata'!A$3,
IF(
  AND(C241 &gt;= 'Campaign Metadata'!J$4, C241 &lt;= 'Campaign Metadata'!H$4),
  'Campaign Metadata'!A$4,
IF(
  AND(C241 &gt;= 'Campaign Metadata'!J$5, C241 &lt;= 'Campaign Metadata'!H$5),
  'Campaign Metadata'!A$5,
"Outside Campaign"
))))
</f>
        <v>SummerSplash</v>
      </c>
      <c r="E241" s="9" t="s">
        <v>47</v>
      </c>
      <c r="F241" s="9" t="s">
        <v>215</v>
      </c>
      <c r="G241" s="11">
        <v>4672.0</v>
      </c>
      <c r="H241" s="11">
        <v>325.0</v>
      </c>
      <c r="I241" s="11">
        <v>32.0</v>
      </c>
      <c r="J241" s="11">
        <v>88768.0</v>
      </c>
      <c r="K241" s="11">
        <v>87833.0</v>
      </c>
      <c r="L241" s="11">
        <v>118.0</v>
      </c>
      <c r="M241" s="12" t="s">
        <v>33</v>
      </c>
      <c r="N241" s="12" t="s">
        <v>26</v>
      </c>
      <c r="O241" s="12" t="s">
        <v>26</v>
      </c>
      <c r="P241" s="13">
        <v>0.05665329848594088</v>
      </c>
      <c r="Q241" s="14">
        <f t="shared" si="1"/>
        <v>45463</v>
      </c>
      <c r="R241" s="13">
        <f t="shared" si="2"/>
        <v>5029</v>
      </c>
      <c r="S241" s="15" t="str">
        <f t="shared" si="3"/>
        <v>During Campaign</v>
      </c>
      <c r="T241" s="16">
        <f t="shared" si="4"/>
        <v>24044</v>
      </c>
      <c r="U241" s="15">
        <f t="shared" si="5"/>
        <v>25</v>
      </c>
    </row>
    <row r="242" ht="14.25" customHeight="1">
      <c r="A242" s="9" t="s">
        <v>296</v>
      </c>
      <c r="B242" s="9" t="s">
        <v>212</v>
      </c>
      <c r="C242" s="10">
        <v>45504.0</v>
      </c>
      <c r="D242" s="10" t="str">
        <f>IF(
  AND(C242 &gt;= 'Campaign Metadata'!J$2, C242 &lt;= 'Campaign Metadata'!H$2),
  'Campaign Metadata'!A$2,
IF(
  AND(C242 &gt;= 'Campaign Metadata'!J$3, C242 &lt;= 'Campaign Metadata'!H$3),
  'Campaign Metadata'!A$3,
IF(
  AND(C242 &gt;= 'Campaign Metadata'!J$4, C242 &lt;= 'Campaign Metadata'!H$4),
  'Campaign Metadata'!A$4,
IF(
  AND(C242 &gt;= 'Campaign Metadata'!J$5, C242 &lt;= 'Campaign Metadata'!H$5),
  'Campaign Metadata'!A$5,
"Outside Campaign"
))))
</f>
        <v>SummerSplash</v>
      </c>
      <c r="E242" s="9" t="s">
        <v>47</v>
      </c>
      <c r="F242" s="9" t="s">
        <v>215</v>
      </c>
      <c r="G242" s="11">
        <v>4507.0</v>
      </c>
      <c r="H242" s="11">
        <v>217.0</v>
      </c>
      <c r="I242" s="11">
        <v>13.0</v>
      </c>
      <c r="J242" s="11">
        <v>90140.0</v>
      </c>
      <c r="K242" s="11">
        <v>89591.0</v>
      </c>
      <c r="L242" s="11">
        <v>125.0</v>
      </c>
      <c r="M242" s="12" t="s">
        <v>38</v>
      </c>
      <c r="N242" s="12" t="s">
        <v>26</v>
      </c>
      <c r="O242" s="12" t="s">
        <v>26</v>
      </c>
      <c r="P242" s="13">
        <v>0.0525515864211227</v>
      </c>
      <c r="Q242" s="14">
        <f t="shared" si="1"/>
        <v>45504</v>
      </c>
      <c r="R242" s="13">
        <f t="shared" si="2"/>
        <v>4737</v>
      </c>
      <c r="S242" s="15" t="str">
        <f t="shared" si="3"/>
        <v>During Campaign</v>
      </c>
      <c r="T242" s="16">
        <f t="shared" si="4"/>
        <v>1758</v>
      </c>
      <c r="U242" s="15">
        <f t="shared" si="5"/>
        <v>31</v>
      </c>
    </row>
    <row r="243" ht="14.25" customHeight="1">
      <c r="A243" s="9" t="s">
        <v>297</v>
      </c>
      <c r="B243" s="9" t="s">
        <v>298</v>
      </c>
      <c r="C243" s="10">
        <v>45567.0</v>
      </c>
      <c r="D243" s="10" t="str">
        <f>IF(
  AND(C243 &gt;= 'Campaign Metadata'!J$2, C243 &lt;= 'Campaign Metadata'!H$2),
  'Campaign Metadata'!A$2,
IF(
  AND(C243 &gt;= 'Campaign Metadata'!J$3, C243 &lt;= 'Campaign Metadata'!H$3),
  'Campaign Metadata'!A$3,
IF(
  AND(C243 &gt;= 'Campaign Metadata'!J$4, C243 &lt;= 'Campaign Metadata'!H$4),
  'Campaign Metadata'!A$4,
IF(
  AND(C243 &gt;= 'Campaign Metadata'!J$5, C243 &lt;= 'Campaign Metadata'!H$5),
  'Campaign Metadata'!A$5,
"Outside Campaign"
))))
</f>
        <v>FestiveRadiance</v>
      </c>
      <c r="E243" s="9" t="s">
        <v>47</v>
      </c>
      <c r="F243" s="9" t="s">
        <v>299</v>
      </c>
      <c r="G243" s="11">
        <v>80.0</v>
      </c>
      <c r="H243" s="11">
        <v>362.0</v>
      </c>
      <c r="I243" s="11">
        <v>80.0</v>
      </c>
      <c r="J243" s="11">
        <v>1040.0</v>
      </c>
      <c r="K243" s="11">
        <v>349.0</v>
      </c>
      <c r="L243" s="11">
        <v>117.0</v>
      </c>
      <c r="M243" s="12" t="s">
        <v>25</v>
      </c>
      <c r="N243" s="12" t="s">
        <v>26</v>
      </c>
      <c r="O243" s="12" t="s">
        <v>26</v>
      </c>
      <c r="P243" s="13">
        <v>0.5019230769230769</v>
      </c>
      <c r="Q243" s="14">
        <f t="shared" si="1"/>
        <v>45567</v>
      </c>
      <c r="R243" s="13">
        <f t="shared" si="2"/>
        <v>522</v>
      </c>
      <c r="S243" s="15" t="str">
        <f t="shared" si="3"/>
        <v>During Campaign</v>
      </c>
      <c r="T243" s="15">
        <f t="shared" si="4"/>
        <v>0</v>
      </c>
      <c r="U243" s="15">
        <f t="shared" si="5"/>
        <v>40</v>
      </c>
    </row>
    <row r="244" ht="14.25" customHeight="1">
      <c r="A244" s="9" t="s">
        <v>300</v>
      </c>
      <c r="B244" s="9" t="s">
        <v>298</v>
      </c>
      <c r="C244" s="10">
        <v>45707.0</v>
      </c>
      <c r="D244" s="10" t="str">
        <f>IF(
  AND(C244 &gt;= 'Campaign Metadata'!J$2, C244 &lt;= 'Campaign Metadata'!H$2),
  'Campaign Metadata'!A$2,
IF(
  AND(C244 &gt;= 'Campaign Metadata'!J$3, C244 &lt;= 'Campaign Metadata'!H$3),
  'Campaign Metadata'!A$3,
IF(
  AND(C244 &gt;= 'Campaign Metadata'!J$4, C244 &lt;= 'Campaign Metadata'!H$4),
  'Campaign Metadata'!A$4,
IF(
  AND(C244 &gt;= 'Campaign Metadata'!J$5, C244 &lt;= 'Campaign Metadata'!H$5),
  'Campaign Metadata'!A$5,
"Outside Campaign"
))))
</f>
        <v>NewYearRefresh</v>
      </c>
      <c r="E244" s="9" t="s">
        <v>28</v>
      </c>
      <c r="F244" s="9" t="s">
        <v>301</v>
      </c>
      <c r="G244" s="11">
        <v>257.0</v>
      </c>
      <c r="H244" s="11">
        <v>966.0</v>
      </c>
      <c r="I244" s="11">
        <v>398.0</v>
      </c>
      <c r="J244" s="11">
        <v>3341.0</v>
      </c>
      <c r="K244" s="11">
        <v>2753.0</v>
      </c>
      <c r="L244" s="11">
        <v>287.0</v>
      </c>
      <c r="M244" s="12" t="s">
        <v>38</v>
      </c>
      <c r="N244" s="12" t="s">
        <v>26</v>
      </c>
      <c r="O244" s="12" t="s">
        <v>26</v>
      </c>
      <c r="P244" s="13">
        <v>0.48518407662376534</v>
      </c>
      <c r="Q244" s="14">
        <f t="shared" si="1"/>
        <v>45707</v>
      </c>
      <c r="R244" s="13">
        <f t="shared" si="2"/>
        <v>1621</v>
      </c>
      <c r="S244" s="15" t="str">
        <f t="shared" si="3"/>
        <v>During Campaign</v>
      </c>
      <c r="T244" s="16">
        <f t="shared" si="4"/>
        <v>2404</v>
      </c>
      <c r="U244" s="15">
        <f t="shared" si="5"/>
        <v>8</v>
      </c>
    </row>
    <row r="245" ht="14.25" customHeight="1">
      <c r="A245" s="9" t="s">
        <v>302</v>
      </c>
      <c r="B245" s="9" t="s">
        <v>298</v>
      </c>
      <c r="C245" s="10">
        <v>45712.0</v>
      </c>
      <c r="D245" s="10" t="str">
        <f>IF(
  AND(C245 &gt;= 'Campaign Metadata'!J$2, C245 &lt;= 'Campaign Metadata'!H$2),
  'Campaign Metadata'!A$2,
IF(
  AND(C245 &gt;= 'Campaign Metadata'!J$3, C245 &lt;= 'Campaign Metadata'!H$3),
  'Campaign Metadata'!A$3,
IF(
  AND(C245 &gt;= 'Campaign Metadata'!J$4, C245 &lt;= 'Campaign Metadata'!H$4),
  'Campaign Metadata'!A$4,
IF(
  AND(C245 &gt;= 'Campaign Metadata'!J$5, C245 &lt;= 'Campaign Metadata'!H$5),
  'Campaign Metadata'!A$5,
"Outside Campaign"
))))
</f>
        <v>NewYearRefresh</v>
      </c>
      <c r="E245" s="9" t="s">
        <v>47</v>
      </c>
      <c r="F245" s="9" t="s">
        <v>299</v>
      </c>
      <c r="G245" s="11">
        <v>804.0</v>
      </c>
      <c r="H245" s="11">
        <v>639.0</v>
      </c>
      <c r="I245" s="11">
        <v>43.0</v>
      </c>
      <c r="J245" s="11">
        <v>4020.0</v>
      </c>
      <c r="K245" s="11">
        <v>3144.0</v>
      </c>
      <c r="L245" s="11">
        <v>11.0</v>
      </c>
      <c r="M245" s="12" t="s">
        <v>33</v>
      </c>
      <c r="N245" s="12" t="s">
        <v>77</v>
      </c>
      <c r="O245" s="12" t="s">
        <v>26</v>
      </c>
      <c r="P245" s="13">
        <v>0.36965174129353234</v>
      </c>
      <c r="Q245" s="14">
        <f t="shared" si="1"/>
        <v>45712</v>
      </c>
      <c r="R245" s="13">
        <f t="shared" si="2"/>
        <v>1486</v>
      </c>
      <c r="S245" s="15" t="str">
        <f t="shared" si="3"/>
        <v>During Campaign</v>
      </c>
      <c r="T245" s="16">
        <f t="shared" si="4"/>
        <v>391</v>
      </c>
      <c r="U245" s="15">
        <f t="shared" si="5"/>
        <v>9</v>
      </c>
    </row>
    <row r="246" ht="14.25" customHeight="1">
      <c r="A246" s="9" t="s">
        <v>303</v>
      </c>
      <c r="B246" s="9" t="s">
        <v>298</v>
      </c>
      <c r="C246" s="10">
        <v>45753.0</v>
      </c>
      <c r="D246" s="10" t="str">
        <f>IF(
  AND(C246 &gt;= 'Campaign Metadata'!J$2, C246 &lt;= 'Campaign Metadata'!H$2),
  'Campaign Metadata'!A$2,
IF(
  AND(C246 &gt;= 'Campaign Metadata'!J$3, C246 &lt;= 'Campaign Metadata'!H$3),
  'Campaign Metadata'!A$3,
IF(
  AND(C246 &gt;= 'Campaign Metadata'!J$4, C246 &lt;= 'Campaign Metadata'!H$4),
  'Campaign Metadata'!A$4,
IF(
  AND(C246 &gt;= 'Campaign Metadata'!J$5, C246 &lt;= 'Campaign Metadata'!H$5),
  'Campaign Metadata'!A$5,
"Outside Campaign"
))))
</f>
        <v>Outside Campaign</v>
      </c>
      <c r="E246" s="9" t="s">
        <v>47</v>
      </c>
      <c r="F246" s="9" t="s">
        <v>299</v>
      </c>
      <c r="G246" s="11">
        <v>736.0</v>
      </c>
      <c r="H246" s="11">
        <v>771.0</v>
      </c>
      <c r="I246" s="11">
        <v>225.0</v>
      </c>
      <c r="J246" s="11">
        <v>5152.0</v>
      </c>
      <c r="K246" s="11">
        <v>4706.0</v>
      </c>
      <c r="L246" s="11">
        <v>19.0</v>
      </c>
      <c r="M246" s="12" t="s">
        <v>33</v>
      </c>
      <c r="N246" s="12" t="s">
        <v>26</v>
      </c>
      <c r="O246" s="12" t="s">
        <v>26</v>
      </c>
      <c r="P246" s="13">
        <v>0.3361801242236025</v>
      </c>
      <c r="Q246" s="14">
        <f t="shared" si="1"/>
        <v>45753</v>
      </c>
      <c r="R246" s="13">
        <f t="shared" si="2"/>
        <v>1732</v>
      </c>
      <c r="S246" s="15" t="str">
        <f t="shared" si="3"/>
        <v>Before Campaign</v>
      </c>
      <c r="T246" s="16">
        <f t="shared" si="4"/>
        <v>1562</v>
      </c>
      <c r="U246" s="15">
        <f t="shared" si="5"/>
        <v>14</v>
      </c>
    </row>
    <row r="247" ht="14.25" customHeight="1">
      <c r="A247" s="9" t="s">
        <v>304</v>
      </c>
      <c r="B247" s="9" t="s">
        <v>298</v>
      </c>
      <c r="C247" s="10">
        <v>45590.0</v>
      </c>
      <c r="D247" s="10" t="str">
        <f>IF(
  AND(C247 &gt;= 'Campaign Metadata'!J$2, C247 &lt;= 'Campaign Metadata'!H$2),
  'Campaign Metadata'!A$2,
IF(
  AND(C247 &gt;= 'Campaign Metadata'!J$3, C247 &lt;= 'Campaign Metadata'!H$3),
  'Campaign Metadata'!A$3,
IF(
  AND(C247 &gt;= 'Campaign Metadata'!J$4, C247 &lt;= 'Campaign Metadata'!H$4),
  'Campaign Metadata'!A$4,
IF(
  AND(C247 &gt;= 'Campaign Metadata'!J$5, C247 &lt;= 'Campaign Metadata'!H$5),
  'Campaign Metadata'!A$5,
"Outside Campaign"
))))
</f>
        <v>FestiveRadiance</v>
      </c>
      <c r="E247" s="9" t="s">
        <v>23</v>
      </c>
      <c r="F247" s="9" t="s">
        <v>305</v>
      </c>
      <c r="G247" s="11">
        <v>4661.0</v>
      </c>
      <c r="H247" s="11">
        <v>935.0</v>
      </c>
      <c r="I247" s="11">
        <v>433.0</v>
      </c>
      <c r="J247" s="11">
        <v>23305.0</v>
      </c>
      <c r="K247" s="11">
        <v>22583.0</v>
      </c>
      <c r="L247" s="11">
        <v>63.0</v>
      </c>
      <c r="M247" s="12" t="s">
        <v>38</v>
      </c>
      <c r="N247" s="12" t="s">
        <v>26</v>
      </c>
      <c r="O247" s="12" t="s">
        <v>26</v>
      </c>
      <c r="P247" s="13">
        <v>0.2586998498176357</v>
      </c>
      <c r="Q247" s="14">
        <f t="shared" si="1"/>
        <v>45590</v>
      </c>
      <c r="R247" s="13">
        <f t="shared" si="2"/>
        <v>6029</v>
      </c>
      <c r="S247" s="15" t="str">
        <f t="shared" si="3"/>
        <v>During Campaign</v>
      </c>
      <c r="T247" s="16">
        <f t="shared" si="4"/>
        <v>17877</v>
      </c>
      <c r="U247" s="15">
        <f t="shared" si="5"/>
        <v>43</v>
      </c>
    </row>
    <row r="248" ht="14.25" customHeight="1">
      <c r="A248" s="9" t="s">
        <v>306</v>
      </c>
      <c r="B248" s="9" t="s">
        <v>298</v>
      </c>
      <c r="C248" s="10">
        <v>45712.0</v>
      </c>
      <c r="D248" s="10" t="str">
        <f>IF(
  AND(C248 &gt;= 'Campaign Metadata'!J$2, C248 &lt;= 'Campaign Metadata'!H$2),
  'Campaign Metadata'!A$2,
IF(
  AND(C248 &gt;= 'Campaign Metadata'!J$3, C248 &lt;= 'Campaign Metadata'!H$3),
  'Campaign Metadata'!A$3,
IF(
  AND(C248 &gt;= 'Campaign Metadata'!J$4, C248 &lt;= 'Campaign Metadata'!H$4),
  'Campaign Metadata'!A$4,
IF(
  AND(C248 &gt;= 'Campaign Metadata'!J$5, C248 &lt;= 'Campaign Metadata'!H$5),
  'Campaign Metadata'!A$5,
"Outside Campaign"
))))
</f>
        <v>NewYearRefresh</v>
      </c>
      <c r="E248" s="9" t="s">
        <v>35</v>
      </c>
      <c r="F248" s="9" t="s">
        <v>307</v>
      </c>
      <c r="G248" s="11">
        <v>4188.0</v>
      </c>
      <c r="H248" s="11">
        <v>942.0</v>
      </c>
      <c r="I248" s="11">
        <v>118.0</v>
      </c>
      <c r="J248" s="11">
        <v>20940.0</v>
      </c>
      <c r="K248" s="11">
        <v>20471.0</v>
      </c>
      <c r="L248" s="11">
        <v>102.0</v>
      </c>
      <c r="M248" s="12" t="s">
        <v>38</v>
      </c>
      <c r="N248" s="12" t="s">
        <v>26</v>
      </c>
      <c r="O248" s="12" t="s">
        <v>26</v>
      </c>
      <c r="P248" s="13">
        <v>0.25062082139446035</v>
      </c>
      <c r="Q248" s="14">
        <f t="shared" si="1"/>
        <v>45712</v>
      </c>
      <c r="R248" s="13">
        <f t="shared" si="2"/>
        <v>5248</v>
      </c>
      <c r="S248" s="15" t="str">
        <f t="shared" si="3"/>
        <v>During Campaign</v>
      </c>
      <c r="T248" s="16">
        <f t="shared" si="4"/>
        <v>-2112</v>
      </c>
      <c r="U248" s="15">
        <f t="shared" si="5"/>
        <v>9</v>
      </c>
    </row>
    <row r="249" ht="14.25" customHeight="1">
      <c r="A249" s="9" t="s">
        <v>308</v>
      </c>
      <c r="B249" s="9" t="s">
        <v>298</v>
      </c>
      <c r="C249" s="10">
        <v>45737.0</v>
      </c>
      <c r="D249" s="10" t="str">
        <f>IF(
  AND(C249 &gt;= 'Campaign Metadata'!J$2, C249 &lt;= 'Campaign Metadata'!H$2),
  'Campaign Metadata'!A$2,
IF(
  AND(C249 &gt;= 'Campaign Metadata'!J$3, C249 &lt;= 'Campaign Metadata'!H$3),
  'Campaign Metadata'!A$3,
IF(
  AND(C249 &gt;= 'Campaign Metadata'!J$4, C249 &lt;= 'Campaign Metadata'!H$4),
  'Campaign Metadata'!A$4,
IF(
  AND(C249 &gt;= 'Campaign Metadata'!J$5, C249 &lt;= 'Campaign Metadata'!H$5),
  'Campaign Metadata'!A$5,
"Outside Campaign"
))))
</f>
        <v>Outside Campaign</v>
      </c>
      <c r="E249" s="9" t="s">
        <v>28</v>
      </c>
      <c r="F249" s="9" t="s">
        <v>301</v>
      </c>
      <c r="G249" s="11">
        <v>606.0</v>
      </c>
      <c r="H249" s="11">
        <v>789.0</v>
      </c>
      <c r="I249" s="11">
        <v>470.0</v>
      </c>
      <c r="J249" s="11">
        <v>7878.0</v>
      </c>
      <c r="K249" s="11">
        <v>7389.0</v>
      </c>
      <c r="L249" s="11">
        <v>239.0</v>
      </c>
      <c r="M249" s="12" t="s">
        <v>33</v>
      </c>
      <c r="N249" s="12" t="s">
        <v>26</v>
      </c>
      <c r="O249" s="12" t="s">
        <v>26</v>
      </c>
      <c r="P249" s="13">
        <v>0.23673521198273673</v>
      </c>
      <c r="Q249" s="14">
        <f t="shared" si="1"/>
        <v>45737</v>
      </c>
      <c r="R249" s="13">
        <f t="shared" si="2"/>
        <v>1865</v>
      </c>
      <c r="S249" s="15" t="str">
        <f t="shared" si="3"/>
        <v>Before Campaign</v>
      </c>
      <c r="T249" s="16">
        <f t="shared" si="4"/>
        <v>-13082</v>
      </c>
      <c r="U249" s="15">
        <f t="shared" si="5"/>
        <v>12</v>
      </c>
    </row>
    <row r="250" ht="14.25" customHeight="1">
      <c r="A250" s="9" t="s">
        <v>309</v>
      </c>
      <c r="B250" s="9" t="s">
        <v>298</v>
      </c>
      <c r="C250" s="10">
        <v>45721.0</v>
      </c>
      <c r="D250" s="10" t="str">
        <f>IF(
  AND(C250 &gt;= 'Campaign Metadata'!J$2, C250 &lt;= 'Campaign Metadata'!H$2),
  'Campaign Metadata'!A$2,
IF(
  AND(C250 &gt;= 'Campaign Metadata'!J$3, C250 &lt;= 'Campaign Metadata'!H$3),
  'Campaign Metadata'!A$3,
IF(
  AND(C250 &gt;= 'Campaign Metadata'!J$4, C250 &lt;= 'Campaign Metadata'!H$4),
  'Campaign Metadata'!A$4,
IF(
  AND(C250 &gt;= 'Campaign Metadata'!J$5, C250 &lt;= 'Campaign Metadata'!H$5),
  'Campaign Metadata'!A$5,
"Outside Campaign"
))))
</f>
        <v>Outside Campaign</v>
      </c>
      <c r="E250" s="9" t="s">
        <v>50</v>
      </c>
      <c r="F250" s="9" t="s">
        <v>310</v>
      </c>
      <c r="G250" s="11">
        <v>1543.0</v>
      </c>
      <c r="H250" s="11">
        <v>820.0</v>
      </c>
      <c r="I250" s="11">
        <v>333.0</v>
      </c>
      <c r="J250" s="11">
        <v>12344.0</v>
      </c>
      <c r="K250" s="11">
        <v>11496.0</v>
      </c>
      <c r="L250" s="11">
        <v>241.0</v>
      </c>
      <c r="M250" s="12" t="s">
        <v>33</v>
      </c>
      <c r="N250" s="12" t="s">
        <v>26</v>
      </c>
      <c r="O250" s="12" t="s">
        <v>26</v>
      </c>
      <c r="P250" s="13">
        <v>0.21840570317563188</v>
      </c>
      <c r="Q250" s="14">
        <f t="shared" si="1"/>
        <v>45721</v>
      </c>
      <c r="R250" s="13">
        <f t="shared" si="2"/>
        <v>2696</v>
      </c>
      <c r="S250" s="15" t="str">
        <f t="shared" si="3"/>
        <v>Before Campaign</v>
      </c>
      <c r="T250" s="16">
        <f t="shared" si="4"/>
        <v>4107</v>
      </c>
      <c r="U250" s="15">
        <f t="shared" si="5"/>
        <v>10</v>
      </c>
    </row>
    <row r="251" ht="14.25" customHeight="1">
      <c r="A251" s="9" t="s">
        <v>311</v>
      </c>
      <c r="B251" s="9" t="s">
        <v>298</v>
      </c>
      <c r="C251" s="10">
        <v>45448.0</v>
      </c>
      <c r="D251" s="10" t="str">
        <f>IF(
  AND(C251 &gt;= 'Campaign Metadata'!J$2, C251 &lt;= 'Campaign Metadata'!H$2),
  'Campaign Metadata'!A$2,
IF(
  AND(C251 &gt;= 'Campaign Metadata'!J$3, C251 &lt;= 'Campaign Metadata'!H$3),
  'Campaign Metadata'!A$3,
IF(
  AND(C251 &gt;= 'Campaign Metadata'!J$4, C251 &lt;= 'Campaign Metadata'!H$4),
  'Campaign Metadata'!A$4,
IF(
  AND(C251 &gt;= 'Campaign Metadata'!J$5, C251 &lt;= 'Campaign Metadata'!H$5),
  'Campaign Metadata'!A$5,
"Outside Campaign"
))))
</f>
        <v>SummerSplash</v>
      </c>
      <c r="E251" s="9" t="s">
        <v>50</v>
      </c>
      <c r="F251" s="9" t="s">
        <v>310</v>
      </c>
      <c r="G251" s="11">
        <v>3065.0</v>
      </c>
      <c r="H251" s="11">
        <v>772.0</v>
      </c>
      <c r="I251" s="11">
        <v>142.0</v>
      </c>
      <c r="J251" s="11">
        <v>18390.0</v>
      </c>
      <c r="K251" s="11">
        <v>17875.0</v>
      </c>
      <c r="L251" s="11">
        <v>200.0</v>
      </c>
      <c r="M251" s="12" t="s">
        <v>33</v>
      </c>
      <c r="N251" s="12" t="s">
        <v>67</v>
      </c>
      <c r="O251" s="12" t="s">
        <v>26</v>
      </c>
      <c r="P251" s="13">
        <v>0.21636759108210984</v>
      </c>
      <c r="Q251" s="14">
        <f t="shared" si="1"/>
        <v>45448</v>
      </c>
      <c r="R251" s="13">
        <f t="shared" si="2"/>
        <v>3979</v>
      </c>
      <c r="S251" s="15" t="str">
        <f t="shared" si="3"/>
        <v>During Campaign</v>
      </c>
      <c r="T251" s="16">
        <f t="shared" si="4"/>
        <v>6379</v>
      </c>
      <c r="U251" s="15">
        <f t="shared" si="5"/>
        <v>23</v>
      </c>
    </row>
    <row r="252" ht="14.25" customHeight="1">
      <c r="A252" s="9" t="s">
        <v>312</v>
      </c>
      <c r="B252" s="9" t="s">
        <v>298</v>
      </c>
      <c r="C252" s="10">
        <v>45560.0</v>
      </c>
      <c r="D252" s="10" t="str">
        <f>IF(
  AND(C252 &gt;= 'Campaign Metadata'!J$2, C252 &lt;= 'Campaign Metadata'!H$2),
  'Campaign Metadata'!A$2,
IF(
  AND(C252 &gt;= 'Campaign Metadata'!J$3, C252 &lt;= 'Campaign Metadata'!H$3),
  'Campaign Metadata'!A$3,
IF(
  AND(C252 &gt;= 'Campaign Metadata'!J$4, C252 &lt;= 'Campaign Metadata'!H$4),
  'Campaign Metadata'!A$4,
IF(
  AND(C252 &gt;= 'Campaign Metadata'!J$5, C252 &lt;= 'Campaign Metadata'!H$5),
  'Campaign Metadata'!A$5,
"Outside Campaign"
))))
</f>
        <v>SummerSplash</v>
      </c>
      <c r="E252" s="9" t="s">
        <v>23</v>
      </c>
      <c r="F252" s="9" t="s">
        <v>305</v>
      </c>
      <c r="G252" s="11">
        <v>3389.0</v>
      </c>
      <c r="H252" s="11">
        <v>344.0</v>
      </c>
      <c r="I252" s="11">
        <v>229.0</v>
      </c>
      <c r="J252" s="11">
        <v>20334.0</v>
      </c>
      <c r="K252" s="11">
        <v>19443.0</v>
      </c>
      <c r="L252" s="11">
        <v>228.0</v>
      </c>
      <c r="M252" s="12" t="s">
        <v>38</v>
      </c>
      <c r="N252" s="12" t="s">
        <v>26</v>
      </c>
      <c r="O252" s="12" t="s">
        <v>26</v>
      </c>
      <c r="P252" s="13">
        <v>0.1948460706206354</v>
      </c>
      <c r="Q252" s="14">
        <f t="shared" si="1"/>
        <v>45560</v>
      </c>
      <c r="R252" s="13">
        <f t="shared" si="2"/>
        <v>3962</v>
      </c>
      <c r="S252" s="15" t="str">
        <f t="shared" si="3"/>
        <v>During Campaign</v>
      </c>
      <c r="T252" s="16">
        <f t="shared" si="4"/>
        <v>1568</v>
      </c>
      <c r="U252" s="15">
        <f t="shared" si="5"/>
        <v>39</v>
      </c>
    </row>
    <row r="253" ht="14.25" customHeight="1">
      <c r="A253" s="9" t="s">
        <v>313</v>
      </c>
      <c r="B253" s="9" t="s">
        <v>298</v>
      </c>
      <c r="C253" s="10">
        <v>45734.0</v>
      </c>
      <c r="D253" s="10" t="str">
        <f>IF(
  AND(C253 &gt;= 'Campaign Metadata'!J$2, C253 &lt;= 'Campaign Metadata'!H$2),
  'Campaign Metadata'!A$2,
IF(
  AND(C253 &gt;= 'Campaign Metadata'!J$3, C253 &lt;= 'Campaign Metadata'!H$3),
  'Campaign Metadata'!A$3,
IF(
  AND(C253 &gt;= 'Campaign Metadata'!J$4, C253 &lt;= 'Campaign Metadata'!H$4),
  'Campaign Metadata'!A$4,
IF(
  AND(C253 &gt;= 'Campaign Metadata'!J$5, C253 &lt;= 'Campaign Metadata'!H$5),
  'Campaign Metadata'!A$5,
"Outside Campaign"
))))
</f>
        <v>Outside Campaign</v>
      </c>
      <c r="E253" s="9" t="s">
        <v>50</v>
      </c>
      <c r="F253" s="9" t="s">
        <v>310</v>
      </c>
      <c r="G253" s="11">
        <v>3704.0</v>
      </c>
      <c r="H253" s="11">
        <v>186.0</v>
      </c>
      <c r="I253" s="11">
        <v>458.0</v>
      </c>
      <c r="J253" s="11">
        <v>25928.0</v>
      </c>
      <c r="K253" s="11">
        <v>25081.0</v>
      </c>
      <c r="L253" s="11">
        <v>131.0</v>
      </c>
      <c r="M253" s="12" t="s">
        <v>25</v>
      </c>
      <c r="N253" s="12" t="s">
        <v>26</v>
      </c>
      <c r="O253" s="12" t="s">
        <v>26</v>
      </c>
      <c r="P253" s="13">
        <v>0.16769515581610614</v>
      </c>
      <c r="Q253" s="14">
        <f t="shared" si="1"/>
        <v>45734</v>
      </c>
      <c r="R253" s="13">
        <f t="shared" si="2"/>
        <v>4348</v>
      </c>
      <c r="S253" s="15" t="str">
        <f t="shared" si="3"/>
        <v>Before Campaign</v>
      </c>
      <c r="T253" s="16">
        <f t="shared" si="4"/>
        <v>5638</v>
      </c>
      <c r="U253" s="15">
        <f t="shared" si="5"/>
        <v>12</v>
      </c>
    </row>
    <row r="254" ht="14.25" customHeight="1">
      <c r="A254" s="9" t="s">
        <v>314</v>
      </c>
      <c r="B254" s="9" t="s">
        <v>298</v>
      </c>
      <c r="C254" s="10">
        <v>45729.0</v>
      </c>
      <c r="D254" s="10" t="str">
        <f>IF(
  AND(C254 &gt;= 'Campaign Metadata'!J$2, C254 &lt;= 'Campaign Metadata'!H$2),
  'Campaign Metadata'!A$2,
IF(
  AND(C254 &gt;= 'Campaign Metadata'!J$3, C254 &lt;= 'Campaign Metadata'!H$3),
  'Campaign Metadata'!A$3,
IF(
  AND(C254 &gt;= 'Campaign Metadata'!J$4, C254 &lt;= 'Campaign Metadata'!H$4),
  'Campaign Metadata'!A$4,
IF(
  AND(C254 &gt;= 'Campaign Metadata'!J$5, C254 &lt;= 'Campaign Metadata'!H$5),
  'Campaign Metadata'!A$5,
"Outside Campaign"
))))
</f>
        <v>Outside Campaign</v>
      </c>
      <c r="E254" s="9" t="s">
        <v>47</v>
      </c>
      <c r="F254" s="9" t="s">
        <v>299</v>
      </c>
      <c r="G254" s="11">
        <v>1686.0</v>
      </c>
      <c r="H254" s="11">
        <v>904.0</v>
      </c>
      <c r="I254" s="11">
        <v>472.0</v>
      </c>
      <c r="J254" s="11">
        <v>18546.0</v>
      </c>
      <c r="K254" s="11">
        <v>18171.0</v>
      </c>
      <c r="L254" s="11">
        <v>52.0</v>
      </c>
      <c r="M254" s="12" t="s">
        <v>38</v>
      </c>
      <c r="N254" s="12" t="s">
        <v>26</v>
      </c>
      <c r="O254" s="12" t="s">
        <v>26</v>
      </c>
      <c r="P254" s="13">
        <v>0.1651029871670441</v>
      </c>
      <c r="Q254" s="14">
        <f t="shared" si="1"/>
        <v>45729</v>
      </c>
      <c r="R254" s="13">
        <f t="shared" si="2"/>
        <v>3062</v>
      </c>
      <c r="S254" s="15" t="str">
        <f t="shared" si="3"/>
        <v>Before Campaign</v>
      </c>
      <c r="T254" s="16">
        <f t="shared" si="4"/>
        <v>-6910</v>
      </c>
      <c r="U254" s="15">
        <f t="shared" si="5"/>
        <v>11</v>
      </c>
    </row>
    <row r="255" ht="14.25" customHeight="1">
      <c r="A255" s="9" t="s">
        <v>315</v>
      </c>
      <c r="B255" s="9" t="s">
        <v>298</v>
      </c>
      <c r="C255" s="10">
        <v>45580.0</v>
      </c>
      <c r="D255" s="10" t="str">
        <f>IF(
  AND(C255 &gt;= 'Campaign Metadata'!J$2, C255 &lt;= 'Campaign Metadata'!H$2),
  'Campaign Metadata'!A$2,
IF(
  AND(C255 &gt;= 'Campaign Metadata'!J$3, C255 &lt;= 'Campaign Metadata'!H$3),
  'Campaign Metadata'!A$3,
IF(
  AND(C255 &gt;= 'Campaign Metadata'!J$4, C255 &lt;= 'Campaign Metadata'!H$4),
  'Campaign Metadata'!A$4,
IF(
  AND(C255 &gt;= 'Campaign Metadata'!J$5, C255 &lt;= 'Campaign Metadata'!H$5),
  'Campaign Metadata'!A$5,
"Outside Campaign"
))))
</f>
        <v>FestiveRadiance</v>
      </c>
      <c r="E255" s="9" t="s">
        <v>23</v>
      </c>
      <c r="F255" s="9" t="s">
        <v>305</v>
      </c>
      <c r="G255" s="11">
        <v>1094.0</v>
      </c>
      <c r="H255" s="11">
        <v>472.0</v>
      </c>
      <c r="I255" s="11">
        <v>21.0</v>
      </c>
      <c r="J255" s="11">
        <v>9846.0</v>
      </c>
      <c r="K255" s="11">
        <v>9609.0</v>
      </c>
      <c r="L255" s="11">
        <v>112.0</v>
      </c>
      <c r="M255" s="12" t="s">
        <v>33</v>
      </c>
      <c r="N255" s="12" t="s">
        <v>26</v>
      </c>
      <c r="O255" s="12" t="s">
        <v>26</v>
      </c>
      <c r="P255" s="13">
        <v>0.1611822059719683</v>
      </c>
      <c r="Q255" s="14">
        <f t="shared" si="1"/>
        <v>45580</v>
      </c>
      <c r="R255" s="13">
        <f t="shared" si="2"/>
        <v>1587</v>
      </c>
      <c r="S255" s="15" t="str">
        <f t="shared" si="3"/>
        <v>During Campaign</v>
      </c>
      <c r="T255" s="16">
        <f t="shared" si="4"/>
        <v>-8562</v>
      </c>
      <c r="U255" s="15">
        <f t="shared" si="5"/>
        <v>42</v>
      </c>
    </row>
    <row r="256" ht="14.25" customHeight="1">
      <c r="A256" s="9" t="s">
        <v>316</v>
      </c>
      <c r="B256" s="9" t="s">
        <v>298</v>
      </c>
      <c r="C256" s="10">
        <v>45715.0</v>
      </c>
      <c r="D256" s="10" t="str">
        <f>IF(
  AND(C256 &gt;= 'Campaign Metadata'!J$2, C256 &lt;= 'Campaign Metadata'!H$2),
  'Campaign Metadata'!A$2,
IF(
  AND(C256 &gt;= 'Campaign Metadata'!J$3, C256 &lt;= 'Campaign Metadata'!H$3),
  'Campaign Metadata'!A$3,
IF(
  AND(C256 &gt;= 'Campaign Metadata'!J$4, C256 &lt;= 'Campaign Metadata'!H$4),
  'Campaign Metadata'!A$4,
IF(
  AND(C256 &gt;= 'Campaign Metadata'!J$5, C256 &lt;= 'Campaign Metadata'!H$5),
  'Campaign Metadata'!A$5,
"Outside Campaign"
))))
</f>
        <v>NewYearRefresh</v>
      </c>
      <c r="E256" s="9" t="s">
        <v>35</v>
      </c>
      <c r="F256" s="9" t="s">
        <v>307</v>
      </c>
      <c r="G256" s="11">
        <v>4934.0</v>
      </c>
      <c r="H256" s="11">
        <v>971.0</v>
      </c>
      <c r="I256" s="11">
        <v>156.0</v>
      </c>
      <c r="J256" s="11">
        <v>39472.0</v>
      </c>
      <c r="K256" s="11">
        <v>39025.0</v>
      </c>
      <c r="L256" s="11">
        <v>169.0</v>
      </c>
      <c r="M256" s="12" t="s">
        <v>25</v>
      </c>
      <c r="N256" s="12" t="s">
        <v>67</v>
      </c>
      <c r="O256" s="12" t="s">
        <v>26</v>
      </c>
      <c r="P256" s="13">
        <v>0.15355188488042157</v>
      </c>
      <c r="Q256" s="14">
        <f t="shared" si="1"/>
        <v>45715</v>
      </c>
      <c r="R256" s="13">
        <f t="shared" si="2"/>
        <v>6061</v>
      </c>
      <c r="S256" s="15" t="str">
        <f t="shared" si="3"/>
        <v>During Campaign</v>
      </c>
      <c r="T256" s="16">
        <f t="shared" si="4"/>
        <v>29416</v>
      </c>
      <c r="U256" s="15">
        <f t="shared" si="5"/>
        <v>9</v>
      </c>
    </row>
    <row r="257" ht="14.25" customHeight="1">
      <c r="A257" s="9" t="s">
        <v>317</v>
      </c>
      <c r="B257" s="9" t="s">
        <v>298</v>
      </c>
      <c r="C257" s="10">
        <v>45675.0</v>
      </c>
      <c r="D257" s="10" t="str">
        <f>IF(
  AND(C257 &gt;= 'Campaign Metadata'!J$2, C257 &lt;= 'Campaign Metadata'!H$2),
  'Campaign Metadata'!A$2,
IF(
  AND(C257 &gt;= 'Campaign Metadata'!J$3, C257 &lt;= 'Campaign Metadata'!H$3),
  'Campaign Metadata'!A$3,
IF(
  AND(C257 &gt;= 'Campaign Metadata'!J$4, C257 &lt;= 'Campaign Metadata'!H$4),
  'Campaign Metadata'!A$4,
IF(
  AND(C257 &gt;= 'Campaign Metadata'!J$5, C257 &lt;= 'Campaign Metadata'!H$5),
  'Campaign Metadata'!A$5,
"Outside Campaign"
))))
</f>
        <v>NewYearRefresh</v>
      </c>
      <c r="E257" s="9" t="s">
        <v>28</v>
      </c>
      <c r="F257" s="9" t="s">
        <v>301</v>
      </c>
      <c r="G257" s="11">
        <v>1206.0</v>
      </c>
      <c r="H257" s="11">
        <v>238.0</v>
      </c>
      <c r="I257" s="11">
        <v>36.0</v>
      </c>
      <c r="J257" s="11">
        <v>9648.0</v>
      </c>
      <c r="K257" s="11">
        <v>9417.0</v>
      </c>
      <c r="L257" s="11">
        <v>237.0</v>
      </c>
      <c r="M257" s="12" t="s">
        <v>25</v>
      </c>
      <c r="N257" s="12" t="s">
        <v>26</v>
      </c>
      <c r="O257" s="12" t="s">
        <v>26</v>
      </c>
      <c r="P257" s="13">
        <v>0.15339966832504145</v>
      </c>
      <c r="Q257" s="14">
        <f t="shared" si="1"/>
        <v>45675</v>
      </c>
      <c r="R257" s="13">
        <f t="shared" si="2"/>
        <v>1480</v>
      </c>
      <c r="S257" s="15" t="str">
        <f t="shared" si="3"/>
        <v>During Campaign</v>
      </c>
      <c r="T257" s="16">
        <f t="shared" si="4"/>
        <v>-29608</v>
      </c>
      <c r="U257" s="15">
        <f t="shared" si="5"/>
        <v>3</v>
      </c>
    </row>
    <row r="258" ht="14.25" customHeight="1">
      <c r="A258" s="9" t="s">
        <v>318</v>
      </c>
      <c r="B258" s="9" t="s">
        <v>298</v>
      </c>
      <c r="C258" s="10">
        <v>45739.0</v>
      </c>
      <c r="D258" s="10" t="str">
        <f>IF(
  AND(C258 &gt;= 'Campaign Metadata'!J$2, C258 &lt;= 'Campaign Metadata'!H$2),
  'Campaign Metadata'!A$2,
IF(
  AND(C258 &gt;= 'Campaign Metadata'!J$3, C258 &lt;= 'Campaign Metadata'!H$3),
  'Campaign Metadata'!A$3,
IF(
  AND(C258 &gt;= 'Campaign Metadata'!J$4, C258 &lt;= 'Campaign Metadata'!H$4),
  'Campaign Metadata'!A$4,
IF(
  AND(C258 &gt;= 'Campaign Metadata'!J$5, C258 &lt;= 'Campaign Metadata'!H$5),
  'Campaign Metadata'!A$5,
"Outside Campaign"
))))
</f>
        <v>Outside Campaign</v>
      </c>
      <c r="E258" s="9" t="s">
        <v>31</v>
      </c>
      <c r="F258" s="9" t="s">
        <v>319</v>
      </c>
      <c r="G258" s="11">
        <v>3655.0</v>
      </c>
      <c r="H258" s="11">
        <v>568.0</v>
      </c>
      <c r="I258" s="11">
        <v>286.0</v>
      </c>
      <c r="J258" s="11">
        <v>32895.0</v>
      </c>
      <c r="K258" s="11">
        <v>32015.0</v>
      </c>
      <c r="L258" s="11">
        <v>199.0</v>
      </c>
      <c r="M258" s="12" t="s">
        <v>25</v>
      </c>
      <c r="N258" s="12" t="s">
        <v>26</v>
      </c>
      <c r="O258" s="12" t="s">
        <v>26</v>
      </c>
      <c r="P258" s="13">
        <v>0.13707250341997265</v>
      </c>
      <c r="Q258" s="14">
        <f t="shared" si="1"/>
        <v>45739</v>
      </c>
      <c r="R258" s="13">
        <f t="shared" si="2"/>
        <v>4509</v>
      </c>
      <c r="S258" s="15" t="str">
        <f t="shared" si="3"/>
        <v>Before Campaign</v>
      </c>
      <c r="T258" s="16">
        <f t="shared" si="4"/>
        <v>22598</v>
      </c>
      <c r="U258" s="15">
        <f t="shared" si="5"/>
        <v>12</v>
      </c>
    </row>
    <row r="259" ht="14.25" customHeight="1">
      <c r="A259" s="9" t="s">
        <v>320</v>
      </c>
      <c r="B259" s="9" t="s">
        <v>298</v>
      </c>
      <c r="C259" s="10">
        <v>45491.0</v>
      </c>
      <c r="D259" s="10" t="str">
        <f>IF(
  AND(C259 &gt;= 'Campaign Metadata'!J$2, C259 &lt;= 'Campaign Metadata'!H$2),
  'Campaign Metadata'!A$2,
IF(
  AND(C259 &gt;= 'Campaign Metadata'!J$3, C259 &lt;= 'Campaign Metadata'!H$3),
  'Campaign Metadata'!A$3,
IF(
  AND(C259 &gt;= 'Campaign Metadata'!J$4, C259 &lt;= 'Campaign Metadata'!H$4),
  'Campaign Metadata'!A$4,
IF(
  AND(C259 &gt;= 'Campaign Metadata'!J$5, C259 &lt;= 'Campaign Metadata'!H$5),
  'Campaign Metadata'!A$5,
"Outside Campaign"
))))
</f>
        <v>SummerSplash</v>
      </c>
      <c r="E259" s="9" t="s">
        <v>35</v>
      </c>
      <c r="F259" s="9" t="s">
        <v>307</v>
      </c>
      <c r="G259" s="11">
        <v>4021.0</v>
      </c>
      <c r="H259" s="11">
        <v>794.0</v>
      </c>
      <c r="I259" s="11">
        <v>77.0</v>
      </c>
      <c r="J259" s="11">
        <v>36189.0</v>
      </c>
      <c r="K259" s="11">
        <v>35505.0</v>
      </c>
      <c r="L259" s="11">
        <v>174.0</v>
      </c>
      <c r="M259" s="12" t="s">
        <v>33</v>
      </c>
      <c r="N259" s="12" t="s">
        <v>26</v>
      </c>
      <c r="O259" s="12" t="s">
        <v>26</v>
      </c>
      <c r="P259" s="13">
        <v>0.13517919809886983</v>
      </c>
      <c r="Q259" s="14">
        <f t="shared" si="1"/>
        <v>45491</v>
      </c>
      <c r="R259" s="13">
        <f t="shared" si="2"/>
        <v>4892</v>
      </c>
      <c r="S259" s="15" t="str">
        <f t="shared" si="3"/>
        <v>During Campaign</v>
      </c>
      <c r="T259" s="16">
        <f t="shared" si="4"/>
        <v>3490</v>
      </c>
      <c r="U259" s="15">
        <f t="shared" si="5"/>
        <v>29</v>
      </c>
    </row>
    <row r="260" ht="14.25" customHeight="1">
      <c r="A260" s="9" t="s">
        <v>321</v>
      </c>
      <c r="B260" s="9" t="s">
        <v>298</v>
      </c>
      <c r="C260" s="10">
        <v>45476.0</v>
      </c>
      <c r="D260" s="10" t="str">
        <f>IF(
  AND(C260 &gt;= 'Campaign Metadata'!J$2, C260 &lt;= 'Campaign Metadata'!H$2),
  'Campaign Metadata'!A$2,
IF(
  AND(C260 &gt;= 'Campaign Metadata'!J$3, C260 &lt;= 'Campaign Metadata'!H$3),
  'Campaign Metadata'!A$3,
IF(
  AND(C260 &gt;= 'Campaign Metadata'!J$4, C260 &lt;= 'Campaign Metadata'!H$4),
  'Campaign Metadata'!A$4,
IF(
  AND(C260 &gt;= 'Campaign Metadata'!J$5, C260 &lt;= 'Campaign Metadata'!H$5),
  'Campaign Metadata'!A$5,
"Outside Campaign"
))))
</f>
        <v>SummerSplash</v>
      </c>
      <c r="E260" s="9" t="s">
        <v>31</v>
      </c>
      <c r="F260" s="9" t="s">
        <v>319</v>
      </c>
      <c r="G260" s="11">
        <v>2754.0</v>
      </c>
      <c r="H260" s="11">
        <v>130.0</v>
      </c>
      <c r="I260" s="11">
        <v>90.0</v>
      </c>
      <c r="J260" s="11">
        <v>22032.0</v>
      </c>
      <c r="K260" s="11">
        <v>21288.0</v>
      </c>
      <c r="L260" s="11">
        <v>112.0</v>
      </c>
      <c r="M260" s="12" t="s">
        <v>25</v>
      </c>
      <c r="N260" s="12" t="s">
        <v>26</v>
      </c>
      <c r="O260" s="12" t="s">
        <v>26</v>
      </c>
      <c r="P260" s="13">
        <v>0.13498547567175018</v>
      </c>
      <c r="Q260" s="14">
        <f t="shared" si="1"/>
        <v>45476</v>
      </c>
      <c r="R260" s="13">
        <f t="shared" si="2"/>
        <v>2974</v>
      </c>
      <c r="S260" s="15" t="str">
        <f t="shared" si="3"/>
        <v>During Campaign</v>
      </c>
      <c r="T260" s="16">
        <f t="shared" si="4"/>
        <v>-14217</v>
      </c>
      <c r="U260" s="15">
        <f t="shared" si="5"/>
        <v>27</v>
      </c>
    </row>
    <row r="261" ht="14.25" customHeight="1">
      <c r="A261" s="9" t="s">
        <v>322</v>
      </c>
      <c r="B261" s="9" t="s">
        <v>298</v>
      </c>
      <c r="C261" s="10">
        <v>45593.0</v>
      </c>
      <c r="D261" s="10" t="str">
        <f>IF(
  AND(C261 &gt;= 'Campaign Metadata'!J$2, C261 &lt;= 'Campaign Metadata'!H$2),
  'Campaign Metadata'!A$2,
IF(
  AND(C261 &gt;= 'Campaign Metadata'!J$3, C261 &lt;= 'Campaign Metadata'!H$3),
  'Campaign Metadata'!A$3,
IF(
  AND(C261 &gt;= 'Campaign Metadata'!J$4, C261 &lt;= 'Campaign Metadata'!H$4),
  'Campaign Metadata'!A$4,
IF(
  AND(C261 &gt;= 'Campaign Metadata'!J$5, C261 &lt;= 'Campaign Metadata'!H$5),
  'Campaign Metadata'!A$5,
"Outside Campaign"
))))
</f>
        <v>FestiveRadiance</v>
      </c>
      <c r="E261" s="9" t="s">
        <v>50</v>
      </c>
      <c r="F261" s="9" t="s">
        <v>310</v>
      </c>
      <c r="G261" s="11">
        <v>1855.0</v>
      </c>
      <c r="H261" s="11">
        <v>200.0</v>
      </c>
      <c r="I261" s="11">
        <v>174.0</v>
      </c>
      <c r="J261" s="11">
        <v>16695.0</v>
      </c>
      <c r="K261" s="11">
        <v>16330.0</v>
      </c>
      <c r="L261" s="11">
        <v>123.0</v>
      </c>
      <c r="M261" s="12" t="s">
        <v>25</v>
      </c>
      <c r="N261" s="12" t="s">
        <v>26</v>
      </c>
      <c r="O261" s="12" t="s">
        <v>26</v>
      </c>
      <c r="P261" s="13">
        <v>0.13351302785265048</v>
      </c>
      <c r="Q261" s="14">
        <f t="shared" si="1"/>
        <v>45593</v>
      </c>
      <c r="R261" s="13">
        <f t="shared" si="2"/>
        <v>2229</v>
      </c>
      <c r="S261" s="15" t="str">
        <f t="shared" si="3"/>
        <v>During Campaign</v>
      </c>
      <c r="T261" s="16">
        <f t="shared" si="4"/>
        <v>-4958</v>
      </c>
      <c r="U261" s="15">
        <f t="shared" si="5"/>
        <v>44</v>
      </c>
    </row>
    <row r="262" ht="14.25" customHeight="1">
      <c r="A262" s="9" t="s">
        <v>323</v>
      </c>
      <c r="B262" s="9" t="s">
        <v>298</v>
      </c>
      <c r="C262" s="10">
        <v>45705.0</v>
      </c>
      <c r="D262" s="10" t="str">
        <f>IF(
  AND(C262 &gt;= 'Campaign Metadata'!J$2, C262 &lt;= 'Campaign Metadata'!H$2),
  'Campaign Metadata'!A$2,
IF(
  AND(C262 &gt;= 'Campaign Metadata'!J$3, C262 &lt;= 'Campaign Metadata'!H$3),
  'Campaign Metadata'!A$3,
IF(
  AND(C262 &gt;= 'Campaign Metadata'!J$4, C262 &lt;= 'Campaign Metadata'!H$4),
  'Campaign Metadata'!A$4,
IF(
  AND(C262 &gt;= 'Campaign Metadata'!J$5, C262 &lt;= 'Campaign Metadata'!H$5),
  'Campaign Metadata'!A$5,
"Outside Campaign"
))))
</f>
        <v>NewYearRefresh</v>
      </c>
      <c r="E262" s="9" t="s">
        <v>50</v>
      </c>
      <c r="F262" s="9" t="s">
        <v>310</v>
      </c>
      <c r="G262" s="11">
        <v>3138.0</v>
      </c>
      <c r="H262" s="11">
        <v>123.0</v>
      </c>
      <c r="I262" s="11">
        <v>291.0</v>
      </c>
      <c r="J262" s="11">
        <v>28242.0</v>
      </c>
      <c r="K262" s="11">
        <v>27550.0</v>
      </c>
      <c r="L262" s="11">
        <v>87.0</v>
      </c>
      <c r="M262" s="12" t="s">
        <v>25</v>
      </c>
      <c r="N262" s="12" t="s">
        <v>26</v>
      </c>
      <c r="O262" s="12" t="s">
        <v>26</v>
      </c>
      <c r="P262" s="13">
        <v>0.12577012959422137</v>
      </c>
      <c r="Q262" s="14">
        <f t="shared" si="1"/>
        <v>45705</v>
      </c>
      <c r="R262" s="13">
        <f t="shared" si="2"/>
        <v>3552</v>
      </c>
      <c r="S262" s="15" t="str">
        <f t="shared" si="3"/>
        <v>During Campaign</v>
      </c>
      <c r="T262" s="16">
        <f t="shared" si="4"/>
        <v>11220</v>
      </c>
      <c r="U262" s="15">
        <f t="shared" si="5"/>
        <v>8</v>
      </c>
    </row>
    <row r="263" ht="14.25" customHeight="1">
      <c r="A263" s="9" t="s">
        <v>324</v>
      </c>
      <c r="B263" s="9" t="s">
        <v>298</v>
      </c>
      <c r="C263" s="10">
        <v>45629.0</v>
      </c>
      <c r="D263" s="10" t="str">
        <f>IF(
  AND(C263 &gt;= 'Campaign Metadata'!J$2, C263 &lt;= 'Campaign Metadata'!H$2),
  'Campaign Metadata'!A$2,
IF(
  AND(C263 &gt;= 'Campaign Metadata'!J$3, C263 &lt;= 'Campaign Metadata'!H$3),
  'Campaign Metadata'!A$3,
IF(
  AND(C263 &gt;= 'Campaign Metadata'!J$4, C263 &lt;= 'Campaign Metadata'!H$4),
  'Campaign Metadata'!A$4,
IF(
  AND(C263 &gt;= 'Campaign Metadata'!J$5, C263 &lt;= 'Campaign Metadata'!H$5),
  'Campaign Metadata'!A$5,
"Outside Campaign"
))))
</f>
        <v>FestiveRadiance</v>
      </c>
      <c r="E263" s="9" t="s">
        <v>23</v>
      </c>
      <c r="F263" s="9" t="s">
        <v>305</v>
      </c>
      <c r="G263" s="11">
        <v>3809.0</v>
      </c>
      <c r="H263" s="11">
        <v>273.0</v>
      </c>
      <c r="I263" s="11">
        <v>200.0</v>
      </c>
      <c r="J263" s="11">
        <v>34281.0</v>
      </c>
      <c r="K263" s="11">
        <v>33534.0</v>
      </c>
      <c r="L263" s="11">
        <v>83.0</v>
      </c>
      <c r="M263" s="12" t="s">
        <v>33</v>
      </c>
      <c r="N263" s="12" t="s">
        <v>26</v>
      </c>
      <c r="O263" s="12" t="s">
        <v>26</v>
      </c>
      <c r="P263" s="13">
        <v>0.12490884163239112</v>
      </c>
      <c r="Q263" s="14">
        <f t="shared" si="1"/>
        <v>45629</v>
      </c>
      <c r="R263" s="13">
        <f t="shared" si="2"/>
        <v>4282</v>
      </c>
      <c r="S263" s="15" t="str">
        <f t="shared" si="3"/>
        <v>During Campaign</v>
      </c>
      <c r="T263" s="16">
        <f t="shared" si="4"/>
        <v>5984</v>
      </c>
      <c r="U263" s="15">
        <f t="shared" si="5"/>
        <v>49</v>
      </c>
    </row>
    <row r="264" ht="14.25" customHeight="1">
      <c r="A264" s="9" t="s">
        <v>325</v>
      </c>
      <c r="B264" s="9" t="s">
        <v>298</v>
      </c>
      <c r="C264" s="10">
        <v>45719.0</v>
      </c>
      <c r="D264" s="10" t="str">
        <f>IF(
  AND(C264 &gt;= 'Campaign Metadata'!J$2, C264 &lt;= 'Campaign Metadata'!H$2),
  'Campaign Metadata'!A$2,
IF(
  AND(C264 &gt;= 'Campaign Metadata'!J$3, C264 &lt;= 'Campaign Metadata'!H$3),
  'Campaign Metadata'!A$3,
IF(
  AND(C264 &gt;= 'Campaign Metadata'!J$4, C264 &lt;= 'Campaign Metadata'!H$4),
  'Campaign Metadata'!A$4,
IF(
  AND(C264 &gt;= 'Campaign Metadata'!J$5, C264 &lt;= 'Campaign Metadata'!H$5),
  'Campaign Metadata'!A$5,
"Outside Campaign"
))))
</f>
        <v>Outside Campaign</v>
      </c>
      <c r="E264" s="9" t="s">
        <v>23</v>
      </c>
      <c r="F264" s="9" t="s">
        <v>305</v>
      </c>
      <c r="G264" s="11">
        <v>3874.0</v>
      </c>
      <c r="H264" s="11">
        <v>884.0</v>
      </c>
      <c r="I264" s="11">
        <v>19.0</v>
      </c>
      <c r="J264" s="11">
        <v>38740.0</v>
      </c>
      <c r="K264" s="11">
        <v>38552.0</v>
      </c>
      <c r="L264" s="11">
        <v>219.0</v>
      </c>
      <c r="M264" s="12" t="s">
        <v>25</v>
      </c>
      <c r="N264" s="12" t="s">
        <v>26</v>
      </c>
      <c r="O264" s="12" t="s">
        <v>26</v>
      </c>
      <c r="P264" s="13">
        <v>0.123309241094476</v>
      </c>
      <c r="Q264" s="14">
        <f t="shared" si="1"/>
        <v>45719</v>
      </c>
      <c r="R264" s="13">
        <f t="shared" si="2"/>
        <v>4777</v>
      </c>
      <c r="S264" s="15" t="str">
        <f t="shared" si="3"/>
        <v>Before Campaign</v>
      </c>
      <c r="T264" s="16">
        <f t="shared" si="4"/>
        <v>5018</v>
      </c>
      <c r="U264" s="15">
        <f t="shared" si="5"/>
        <v>10</v>
      </c>
    </row>
    <row r="265" ht="14.25" customHeight="1">
      <c r="A265" s="9" t="s">
        <v>326</v>
      </c>
      <c r="B265" s="9" t="s">
        <v>298</v>
      </c>
      <c r="C265" s="10">
        <v>45537.0</v>
      </c>
      <c r="D265" s="10" t="str">
        <f>IF(
  AND(C265 &gt;= 'Campaign Metadata'!J$2, C265 &lt;= 'Campaign Metadata'!H$2),
  'Campaign Metadata'!A$2,
IF(
  AND(C265 &gt;= 'Campaign Metadata'!J$3, C265 &lt;= 'Campaign Metadata'!H$3),
  'Campaign Metadata'!A$3,
IF(
  AND(C265 &gt;= 'Campaign Metadata'!J$4, C265 &lt;= 'Campaign Metadata'!H$4),
  'Campaign Metadata'!A$4,
IF(
  AND(C265 &gt;= 'Campaign Metadata'!J$5, C265 &lt;= 'Campaign Metadata'!H$5),
  'Campaign Metadata'!A$5,
"Outside Campaign"
))))
</f>
        <v>SummerSplash</v>
      </c>
      <c r="E265" s="9" t="s">
        <v>47</v>
      </c>
      <c r="F265" s="9" t="s">
        <v>299</v>
      </c>
      <c r="G265" s="11">
        <v>2551.0</v>
      </c>
      <c r="H265" s="11">
        <v>915.0</v>
      </c>
      <c r="I265" s="11">
        <v>205.0</v>
      </c>
      <c r="J265" s="11">
        <v>30612.0</v>
      </c>
      <c r="K265" s="11">
        <v>30360.0</v>
      </c>
      <c r="L265" s="11">
        <v>227.0</v>
      </c>
      <c r="M265" s="12" t="s">
        <v>25</v>
      </c>
      <c r="N265" s="12" t="s">
        <v>26</v>
      </c>
      <c r="O265" s="12" t="s">
        <v>26</v>
      </c>
      <c r="P265" s="13">
        <v>0.1199202926956749</v>
      </c>
      <c r="Q265" s="14">
        <f t="shared" si="1"/>
        <v>45537</v>
      </c>
      <c r="R265" s="13">
        <f t="shared" si="2"/>
        <v>3671</v>
      </c>
      <c r="S265" s="15" t="str">
        <f t="shared" si="3"/>
        <v>During Campaign</v>
      </c>
      <c r="T265" s="16">
        <f t="shared" si="4"/>
        <v>-8192</v>
      </c>
      <c r="U265" s="15">
        <f t="shared" si="5"/>
        <v>36</v>
      </c>
    </row>
    <row r="266" ht="14.25" customHeight="1">
      <c r="A266" s="9" t="s">
        <v>327</v>
      </c>
      <c r="B266" s="9" t="s">
        <v>298</v>
      </c>
      <c r="C266" s="10">
        <v>45647.0</v>
      </c>
      <c r="D266" s="10" t="str">
        <f>IF(
  AND(C266 &gt;= 'Campaign Metadata'!J$2, C266 &lt;= 'Campaign Metadata'!H$2),
  'Campaign Metadata'!A$2,
IF(
  AND(C266 &gt;= 'Campaign Metadata'!J$3, C266 &lt;= 'Campaign Metadata'!H$3),
  'Campaign Metadata'!A$3,
IF(
  AND(C266 &gt;= 'Campaign Metadata'!J$4, C266 &lt;= 'Campaign Metadata'!H$4),
  'Campaign Metadata'!A$4,
IF(
  AND(C266 &gt;= 'Campaign Metadata'!J$5, C266 &lt;= 'Campaign Metadata'!H$5),
  'Campaign Metadata'!A$5,
"Outside Campaign"
))))
</f>
        <v>FestiveRadiance</v>
      </c>
      <c r="E266" s="9" t="s">
        <v>28</v>
      </c>
      <c r="F266" s="9" t="s">
        <v>301</v>
      </c>
      <c r="G266" s="11">
        <v>2283.0</v>
      </c>
      <c r="H266" s="11">
        <v>210.0</v>
      </c>
      <c r="I266" s="11">
        <v>130.0</v>
      </c>
      <c r="J266" s="11">
        <v>22830.0</v>
      </c>
      <c r="K266" s="11">
        <v>22617.0</v>
      </c>
      <c r="L266" s="11">
        <v>143.0</v>
      </c>
      <c r="M266" s="12" t="s">
        <v>38</v>
      </c>
      <c r="N266" s="12" t="s">
        <v>26</v>
      </c>
      <c r="O266" s="12" t="s">
        <v>26</v>
      </c>
      <c r="P266" s="13">
        <v>0.11489268506351293</v>
      </c>
      <c r="Q266" s="14">
        <f t="shared" si="1"/>
        <v>45647</v>
      </c>
      <c r="R266" s="13">
        <f t="shared" si="2"/>
        <v>2623</v>
      </c>
      <c r="S266" s="15" t="str">
        <f t="shared" si="3"/>
        <v>During Campaign</v>
      </c>
      <c r="T266" s="16">
        <f t="shared" si="4"/>
        <v>-7743</v>
      </c>
      <c r="U266" s="15">
        <f t="shared" si="5"/>
        <v>51</v>
      </c>
    </row>
    <row r="267" ht="14.25" customHeight="1">
      <c r="A267" s="9" t="s">
        <v>328</v>
      </c>
      <c r="B267" s="9" t="s">
        <v>298</v>
      </c>
      <c r="C267" s="10">
        <v>45496.0</v>
      </c>
      <c r="D267" s="10" t="str">
        <f>IF(
  AND(C267 &gt;= 'Campaign Metadata'!J$2, C267 &lt;= 'Campaign Metadata'!H$2),
  'Campaign Metadata'!A$2,
IF(
  AND(C267 &gt;= 'Campaign Metadata'!J$3, C267 &lt;= 'Campaign Metadata'!H$3),
  'Campaign Metadata'!A$3,
IF(
  AND(C267 &gt;= 'Campaign Metadata'!J$4, C267 &lt;= 'Campaign Metadata'!H$4),
  'Campaign Metadata'!A$4,
IF(
  AND(C267 &gt;= 'Campaign Metadata'!J$5, C267 &lt;= 'Campaign Metadata'!H$5),
  'Campaign Metadata'!A$5,
"Outside Campaign"
))))
</f>
        <v>SummerSplash</v>
      </c>
      <c r="E267" s="9" t="s">
        <v>31</v>
      </c>
      <c r="F267" s="9" t="s">
        <v>319</v>
      </c>
      <c r="G267" s="11">
        <v>4775.0</v>
      </c>
      <c r="H267" s="11">
        <v>173.0</v>
      </c>
      <c r="I267" s="11">
        <v>206.0</v>
      </c>
      <c r="J267" s="11">
        <v>47750.0</v>
      </c>
      <c r="K267" s="11">
        <v>47544.0</v>
      </c>
      <c r="L267" s="11">
        <v>187.0</v>
      </c>
      <c r="M267" s="12" t="s">
        <v>38</v>
      </c>
      <c r="N267" s="12" t="s">
        <v>26</v>
      </c>
      <c r="O267" s="12" t="s">
        <v>26</v>
      </c>
      <c r="P267" s="13">
        <v>0.10793717277486911</v>
      </c>
      <c r="Q267" s="14">
        <f t="shared" si="1"/>
        <v>45496</v>
      </c>
      <c r="R267" s="13">
        <f t="shared" si="2"/>
        <v>5154</v>
      </c>
      <c r="S267" s="15" t="str">
        <f t="shared" si="3"/>
        <v>During Campaign</v>
      </c>
      <c r="T267" s="16">
        <f t="shared" si="4"/>
        <v>24927</v>
      </c>
      <c r="U267" s="15">
        <f t="shared" si="5"/>
        <v>30</v>
      </c>
    </row>
    <row r="268" ht="14.25" customHeight="1">
      <c r="A268" s="9" t="s">
        <v>329</v>
      </c>
      <c r="B268" s="9" t="s">
        <v>298</v>
      </c>
      <c r="C268" s="10">
        <v>45486.0</v>
      </c>
      <c r="D268" s="10" t="str">
        <f>IF(
  AND(C268 &gt;= 'Campaign Metadata'!J$2, C268 &lt;= 'Campaign Metadata'!H$2),
  'Campaign Metadata'!A$2,
IF(
  AND(C268 &gt;= 'Campaign Metadata'!J$3, C268 &lt;= 'Campaign Metadata'!H$3),
  'Campaign Metadata'!A$3,
IF(
  AND(C268 &gt;= 'Campaign Metadata'!J$4, C268 &lt;= 'Campaign Metadata'!H$4),
  'Campaign Metadata'!A$4,
IF(
  AND(C268 &gt;= 'Campaign Metadata'!J$5, C268 &lt;= 'Campaign Metadata'!H$5),
  'Campaign Metadata'!A$5,
"Outside Campaign"
))))
</f>
        <v>SummerSplash</v>
      </c>
      <c r="E268" s="9" t="s">
        <v>28</v>
      </c>
      <c r="F268" s="9" t="s">
        <v>301</v>
      </c>
      <c r="G268" s="11">
        <v>3929.0</v>
      </c>
      <c r="H268" s="11">
        <v>262.0</v>
      </c>
      <c r="I268" s="11">
        <v>278.0</v>
      </c>
      <c r="J268" s="11">
        <v>43219.0</v>
      </c>
      <c r="K268" s="11">
        <v>42841.0</v>
      </c>
      <c r="L268" s="11">
        <v>39.0</v>
      </c>
      <c r="M268" s="12" t="s">
        <v>33</v>
      </c>
      <c r="N268" s="12" t="s">
        <v>26</v>
      </c>
      <c r="O268" s="12" t="s">
        <v>26</v>
      </c>
      <c r="P268" s="13">
        <v>0.10340359564080613</v>
      </c>
      <c r="Q268" s="14">
        <f t="shared" si="1"/>
        <v>45486</v>
      </c>
      <c r="R268" s="13">
        <f t="shared" si="2"/>
        <v>4469</v>
      </c>
      <c r="S268" s="15" t="str">
        <f t="shared" si="3"/>
        <v>During Campaign</v>
      </c>
      <c r="T268" s="16">
        <f t="shared" si="4"/>
        <v>-4703</v>
      </c>
      <c r="U268" s="15">
        <f t="shared" si="5"/>
        <v>28</v>
      </c>
    </row>
    <row r="269" ht="14.25" customHeight="1">
      <c r="A269" s="9" t="s">
        <v>330</v>
      </c>
      <c r="B269" s="9" t="s">
        <v>298</v>
      </c>
      <c r="C269" s="10">
        <v>45629.0</v>
      </c>
      <c r="D269" s="10" t="str">
        <f>IF(
  AND(C269 &gt;= 'Campaign Metadata'!J$2, C269 &lt;= 'Campaign Metadata'!H$2),
  'Campaign Metadata'!A$2,
IF(
  AND(C269 &gt;= 'Campaign Metadata'!J$3, C269 &lt;= 'Campaign Metadata'!H$3),
  'Campaign Metadata'!A$3,
IF(
  AND(C269 &gt;= 'Campaign Metadata'!J$4, C269 &lt;= 'Campaign Metadata'!H$4),
  'Campaign Metadata'!A$4,
IF(
  AND(C269 &gt;= 'Campaign Metadata'!J$5, C269 &lt;= 'Campaign Metadata'!H$5),
  'Campaign Metadata'!A$5,
"Outside Campaign"
))))
</f>
        <v>FestiveRadiance</v>
      </c>
      <c r="E269" s="9" t="s">
        <v>31</v>
      </c>
      <c r="F269" s="9" t="s">
        <v>319</v>
      </c>
      <c r="G269" s="11">
        <v>4285.0</v>
      </c>
      <c r="H269" s="11">
        <v>886.0</v>
      </c>
      <c r="I269" s="11">
        <v>376.0</v>
      </c>
      <c r="J269" s="11">
        <v>55705.0</v>
      </c>
      <c r="K269" s="11">
        <v>55556.0</v>
      </c>
      <c r="L269" s="11">
        <v>51.0</v>
      </c>
      <c r="M269" s="12" t="s">
        <v>38</v>
      </c>
      <c r="N269" s="12" t="s">
        <v>26</v>
      </c>
      <c r="O269" s="12" t="s">
        <v>26</v>
      </c>
      <c r="P269" s="13">
        <v>0.09957813481734135</v>
      </c>
      <c r="Q269" s="14">
        <f t="shared" si="1"/>
        <v>45629</v>
      </c>
      <c r="R269" s="13">
        <f t="shared" si="2"/>
        <v>5547</v>
      </c>
      <c r="S269" s="15" t="str">
        <f t="shared" si="3"/>
        <v>During Campaign</v>
      </c>
      <c r="T269" s="16">
        <f t="shared" si="4"/>
        <v>12715</v>
      </c>
      <c r="U269" s="15">
        <f t="shared" si="5"/>
        <v>49</v>
      </c>
    </row>
    <row r="270" ht="14.25" customHeight="1">
      <c r="A270" s="9" t="s">
        <v>331</v>
      </c>
      <c r="B270" s="9" t="s">
        <v>298</v>
      </c>
      <c r="C270" s="10">
        <v>45657.0</v>
      </c>
      <c r="D270" s="10" t="str">
        <f>IF(
  AND(C270 &gt;= 'Campaign Metadata'!J$2, C270 &lt;= 'Campaign Metadata'!H$2),
  'Campaign Metadata'!A$2,
IF(
  AND(C270 &gt;= 'Campaign Metadata'!J$3, C270 &lt;= 'Campaign Metadata'!H$3),
  'Campaign Metadata'!A$3,
IF(
  AND(C270 &gt;= 'Campaign Metadata'!J$4, C270 &lt;= 'Campaign Metadata'!H$4),
  'Campaign Metadata'!A$4,
IF(
  AND(C270 &gt;= 'Campaign Metadata'!J$5, C270 &lt;= 'Campaign Metadata'!H$5),
  'Campaign Metadata'!A$5,
"Outside Campaign"
))))
</f>
        <v>NewYearRefresh</v>
      </c>
      <c r="E270" s="9" t="s">
        <v>23</v>
      </c>
      <c r="F270" s="9" t="s">
        <v>305</v>
      </c>
      <c r="G270" s="11">
        <v>1018.0</v>
      </c>
      <c r="H270" s="11">
        <v>447.0</v>
      </c>
      <c r="I270" s="11">
        <v>332.0</v>
      </c>
      <c r="J270" s="11">
        <v>18324.0</v>
      </c>
      <c r="K270" s="11">
        <v>18164.0</v>
      </c>
      <c r="L270" s="11">
        <v>38.0</v>
      </c>
      <c r="M270" s="12" t="s">
        <v>38</v>
      </c>
      <c r="N270" s="12" t="s">
        <v>26</v>
      </c>
      <c r="O270" s="12" t="s">
        <v>26</v>
      </c>
      <c r="P270" s="13">
        <v>0.09806810740013097</v>
      </c>
      <c r="Q270" s="14">
        <f t="shared" si="1"/>
        <v>45657</v>
      </c>
      <c r="R270" s="13">
        <f t="shared" si="2"/>
        <v>1797</v>
      </c>
      <c r="S270" s="15" t="str">
        <f t="shared" si="3"/>
        <v>During Campaign</v>
      </c>
      <c r="T270" s="16">
        <f t="shared" si="4"/>
        <v>-37392</v>
      </c>
      <c r="U270" s="15">
        <f t="shared" si="5"/>
        <v>1</v>
      </c>
    </row>
    <row r="271" ht="14.25" customHeight="1">
      <c r="A271" s="9" t="s">
        <v>332</v>
      </c>
      <c r="B271" s="9" t="s">
        <v>298</v>
      </c>
      <c r="C271" s="10">
        <v>45577.0</v>
      </c>
      <c r="D271" s="10" t="str">
        <f>IF(
  AND(C271 &gt;= 'Campaign Metadata'!J$2, C271 &lt;= 'Campaign Metadata'!H$2),
  'Campaign Metadata'!A$2,
IF(
  AND(C271 &gt;= 'Campaign Metadata'!J$3, C271 &lt;= 'Campaign Metadata'!H$3),
  'Campaign Metadata'!A$3,
IF(
  AND(C271 &gt;= 'Campaign Metadata'!J$4, C271 &lt;= 'Campaign Metadata'!H$4),
  'Campaign Metadata'!A$4,
IF(
  AND(C271 &gt;= 'Campaign Metadata'!J$5, C271 &lt;= 'Campaign Metadata'!H$5),
  'Campaign Metadata'!A$5,
"Outside Campaign"
))))
</f>
        <v>FestiveRadiance</v>
      </c>
      <c r="E271" s="9" t="s">
        <v>31</v>
      </c>
      <c r="F271" s="9" t="s">
        <v>319</v>
      </c>
      <c r="G271" s="11">
        <v>3641.0</v>
      </c>
      <c r="H271" s="11">
        <v>226.0</v>
      </c>
      <c r="I271" s="11">
        <v>46.0</v>
      </c>
      <c r="J271" s="11">
        <v>40051.0</v>
      </c>
      <c r="K271" s="11">
        <v>39319.0</v>
      </c>
      <c r="L271" s="11">
        <v>296.0</v>
      </c>
      <c r="M271" s="12" t="s">
        <v>33</v>
      </c>
      <c r="N271" s="12" t="s">
        <v>26</v>
      </c>
      <c r="O271" s="12" t="s">
        <v>26</v>
      </c>
      <c r="P271" s="13">
        <v>0.09770043194926468</v>
      </c>
      <c r="Q271" s="14">
        <f t="shared" si="1"/>
        <v>45577</v>
      </c>
      <c r="R271" s="13">
        <f t="shared" si="2"/>
        <v>3913</v>
      </c>
      <c r="S271" s="15" t="str">
        <f t="shared" si="3"/>
        <v>During Campaign</v>
      </c>
      <c r="T271" s="16">
        <f t="shared" si="4"/>
        <v>21155</v>
      </c>
      <c r="U271" s="15">
        <f t="shared" si="5"/>
        <v>41</v>
      </c>
    </row>
    <row r="272" ht="14.25" customHeight="1">
      <c r="A272" s="9" t="s">
        <v>333</v>
      </c>
      <c r="B272" s="9" t="s">
        <v>298</v>
      </c>
      <c r="C272" s="10">
        <v>45594.0</v>
      </c>
      <c r="D272" s="10" t="str">
        <f>IF(
  AND(C272 &gt;= 'Campaign Metadata'!J$2, C272 &lt;= 'Campaign Metadata'!H$2),
  'Campaign Metadata'!A$2,
IF(
  AND(C272 &gt;= 'Campaign Metadata'!J$3, C272 &lt;= 'Campaign Metadata'!H$3),
  'Campaign Metadata'!A$3,
IF(
  AND(C272 &gt;= 'Campaign Metadata'!J$4, C272 &lt;= 'Campaign Metadata'!H$4),
  'Campaign Metadata'!A$4,
IF(
  AND(C272 &gt;= 'Campaign Metadata'!J$5, C272 &lt;= 'Campaign Metadata'!H$5),
  'Campaign Metadata'!A$5,
"Outside Campaign"
))))
</f>
        <v>FestiveRadiance</v>
      </c>
      <c r="E272" s="9" t="s">
        <v>35</v>
      </c>
      <c r="F272" s="9" t="s">
        <v>307</v>
      </c>
      <c r="G272" s="11">
        <v>2746.0</v>
      </c>
      <c r="H272" s="11">
        <v>156.0</v>
      </c>
      <c r="I272" s="11">
        <v>203.0</v>
      </c>
      <c r="J272" s="11">
        <v>32952.0</v>
      </c>
      <c r="K272" s="11">
        <v>32147.0</v>
      </c>
      <c r="L272" s="11">
        <v>147.0</v>
      </c>
      <c r="M272" s="12" t="s">
        <v>33</v>
      </c>
      <c r="N272" s="12" t="s">
        <v>26</v>
      </c>
      <c r="O272" s="12" t="s">
        <v>26</v>
      </c>
      <c r="P272" s="13">
        <v>0.09422796795338674</v>
      </c>
      <c r="Q272" s="14">
        <f t="shared" si="1"/>
        <v>45594</v>
      </c>
      <c r="R272" s="13">
        <f t="shared" si="2"/>
        <v>3105</v>
      </c>
      <c r="S272" s="15" t="str">
        <f t="shared" si="3"/>
        <v>During Campaign</v>
      </c>
      <c r="T272" s="16">
        <f t="shared" si="4"/>
        <v>-7172</v>
      </c>
      <c r="U272" s="15">
        <f t="shared" si="5"/>
        <v>44</v>
      </c>
    </row>
    <row r="273" ht="14.25" customHeight="1">
      <c r="A273" s="9" t="s">
        <v>334</v>
      </c>
      <c r="B273" s="9" t="s">
        <v>298</v>
      </c>
      <c r="C273" s="10">
        <v>45698.0</v>
      </c>
      <c r="D273" s="10" t="str">
        <f>IF(
  AND(C273 &gt;= 'Campaign Metadata'!J$2, C273 &lt;= 'Campaign Metadata'!H$2),
  'Campaign Metadata'!A$2,
IF(
  AND(C273 &gt;= 'Campaign Metadata'!J$3, C273 &lt;= 'Campaign Metadata'!H$3),
  'Campaign Metadata'!A$3,
IF(
  AND(C273 &gt;= 'Campaign Metadata'!J$4, C273 &lt;= 'Campaign Metadata'!H$4),
  'Campaign Metadata'!A$4,
IF(
  AND(C273 &gt;= 'Campaign Metadata'!J$5, C273 &lt;= 'Campaign Metadata'!H$5),
  'Campaign Metadata'!A$5,
"Outside Campaign"
))))
</f>
        <v>NewYearRefresh</v>
      </c>
      <c r="E273" s="9" t="s">
        <v>23</v>
      </c>
      <c r="F273" s="9" t="s">
        <v>305</v>
      </c>
      <c r="G273" s="11">
        <v>1766.0</v>
      </c>
      <c r="H273" s="11">
        <v>92.0</v>
      </c>
      <c r="I273" s="11">
        <v>424.0</v>
      </c>
      <c r="J273" s="11">
        <v>24724.0</v>
      </c>
      <c r="K273" s="11">
        <v>24333.0</v>
      </c>
      <c r="L273" s="11">
        <v>52.0</v>
      </c>
      <c r="M273" s="12" t="s">
        <v>33</v>
      </c>
      <c r="N273" s="12" t="s">
        <v>26</v>
      </c>
      <c r="O273" s="12" t="s">
        <v>26</v>
      </c>
      <c r="P273" s="13">
        <v>0.09229898074745187</v>
      </c>
      <c r="Q273" s="14">
        <f t="shared" si="1"/>
        <v>45698</v>
      </c>
      <c r="R273" s="13">
        <f t="shared" si="2"/>
        <v>2282</v>
      </c>
      <c r="S273" s="15" t="str">
        <f t="shared" si="3"/>
        <v>During Campaign</v>
      </c>
      <c r="T273" s="16">
        <f t="shared" si="4"/>
        <v>-7814</v>
      </c>
      <c r="U273" s="15">
        <f t="shared" si="5"/>
        <v>7</v>
      </c>
    </row>
    <row r="274" ht="14.25" customHeight="1">
      <c r="A274" s="9" t="s">
        <v>335</v>
      </c>
      <c r="B274" s="9" t="s">
        <v>298</v>
      </c>
      <c r="C274" s="10">
        <v>45629.0</v>
      </c>
      <c r="D274" s="10" t="str">
        <f>IF(
  AND(C274 &gt;= 'Campaign Metadata'!J$2, C274 &lt;= 'Campaign Metadata'!H$2),
  'Campaign Metadata'!A$2,
IF(
  AND(C274 &gt;= 'Campaign Metadata'!J$3, C274 &lt;= 'Campaign Metadata'!H$3),
  'Campaign Metadata'!A$3,
IF(
  AND(C274 &gt;= 'Campaign Metadata'!J$4, C274 &lt;= 'Campaign Metadata'!H$4),
  'Campaign Metadata'!A$4,
IF(
  AND(C274 &gt;= 'Campaign Metadata'!J$5, C274 &lt;= 'Campaign Metadata'!H$5),
  'Campaign Metadata'!A$5,
"Outside Campaign"
))))
</f>
        <v>FestiveRadiance</v>
      </c>
      <c r="E274" s="9" t="s">
        <v>35</v>
      </c>
      <c r="F274" s="9" t="s">
        <v>307</v>
      </c>
      <c r="G274" s="11">
        <v>3711.0</v>
      </c>
      <c r="H274" s="11">
        <v>352.0</v>
      </c>
      <c r="I274" s="11">
        <v>290.0</v>
      </c>
      <c r="J274" s="11">
        <v>48243.0</v>
      </c>
      <c r="K274" s="11">
        <v>47579.0</v>
      </c>
      <c r="L274" s="11">
        <v>11.0</v>
      </c>
      <c r="M274" s="12" t="s">
        <v>25</v>
      </c>
      <c r="N274" s="12" t="s">
        <v>26</v>
      </c>
      <c r="O274" s="12" t="s">
        <v>26</v>
      </c>
      <c r="P274" s="13">
        <v>0.09023070704558174</v>
      </c>
      <c r="Q274" s="14">
        <f t="shared" si="1"/>
        <v>45629</v>
      </c>
      <c r="R274" s="13">
        <f t="shared" si="2"/>
        <v>4353</v>
      </c>
      <c r="S274" s="15" t="str">
        <f t="shared" si="3"/>
        <v>During Campaign</v>
      </c>
      <c r="T274" s="16">
        <f t="shared" si="4"/>
        <v>23246</v>
      </c>
      <c r="U274" s="15">
        <f t="shared" si="5"/>
        <v>49</v>
      </c>
    </row>
    <row r="275" ht="14.25" customHeight="1">
      <c r="A275" s="9" t="s">
        <v>336</v>
      </c>
      <c r="B275" s="9" t="s">
        <v>298</v>
      </c>
      <c r="C275" s="10">
        <v>45752.0</v>
      </c>
      <c r="D275" s="10" t="str">
        <f>IF(
  AND(C275 &gt;= 'Campaign Metadata'!J$2, C275 &lt;= 'Campaign Metadata'!H$2),
  'Campaign Metadata'!A$2,
IF(
  AND(C275 &gt;= 'Campaign Metadata'!J$3, C275 &lt;= 'Campaign Metadata'!H$3),
  'Campaign Metadata'!A$3,
IF(
  AND(C275 &gt;= 'Campaign Metadata'!J$4, C275 &lt;= 'Campaign Metadata'!H$4),
  'Campaign Metadata'!A$4,
IF(
  AND(C275 &gt;= 'Campaign Metadata'!J$5, C275 &lt;= 'Campaign Metadata'!H$5),
  'Campaign Metadata'!A$5,
"Outside Campaign"
))))
</f>
        <v>Outside Campaign</v>
      </c>
      <c r="E275" s="9" t="s">
        <v>50</v>
      </c>
      <c r="F275" s="9" t="s">
        <v>310</v>
      </c>
      <c r="G275" s="11">
        <v>3009.0</v>
      </c>
      <c r="H275" s="11">
        <v>413.0</v>
      </c>
      <c r="I275" s="11">
        <v>358.0</v>
      </c>
      <c r="J275" s="11">
        <v>42126.0</v>
      </c>
      <c r="K275" s="11">
        <v>41309.0</v>
      </c>
      <c r="L275" s="11">
        <v>211.0</v>
      </c>
      <c r="M275" s="12" t="s">
        <v>38</v>
      </c>
      <c r="N275" s="12" t="s">
        <v>26</v>
      </c>
      <c r="O275" s="12" t="s">
        <v>26</v>
      </c>
      <c r="P275" s="13">
        <v>0.0897308075772682</v>
      </c>
      <c r="Q275" s="14">
        <f t="shared" si="1"/>
        <v>45752</v>
      </c>
      <c r="R275" s="13">
        <f t="shared" si="2"/>
        <v>3780</v>
      </c>
      <c r="S275" s="15" t="str">
        <f t="shared" si="3"/>
        <v>Before Campaign</v>
      </c>
      <c r="T275" s="16">
        <f t="shared" si="4"/>
        <v>-6270</v>
      </c>
      <c r="U275" s="15">
        <f t="shared" si="5"/>
        <v>14</v>
      </c>
    </row>
    <row r="276" ht="14.25" customHeight="1">
      <c r="A276" s="9" t="s">
        <v>337</v>
      </c>
      <c r="B276" s="9" t="s">
        <v>298</v>
      </c>
      <c r="C276" s="10">
        <v>45564.0</v>
      </c>
      <c r="D276" s="10" t="str">
        <f>IF(
  AND(C276 &gt;= 'Campaign Metadata'!J$2, C276 &lt;= 'Campaign Metadata'!H$2),
  'Campaign Metadata'!A$2,
IF(
  AND(C276 &gt;= 'Campaign Metadata'!J$3, C276 &lt;= 'Campaign Metadata'!H$3),
  'Campaign Metadata'!A$3,
IF(
  AND(C276 &gt;= 'Campaign Metadata'!J$4, C276 &lt;= 'Campaign Metadata'!H$4),
  'Campaign Metadata'!A$4,
IF(
  AND(C276 &gt;= 'Campaign Metadata'!J$5, C276 &lt;= 'Campaign Metadata'!H$5),
  'Campaign Metadata'!A$5,
"Outside Campaign"
))))
</f>
        <v>SummerSplash</v>
      </c>
      <c r="E276" s="9" t="s">
        <v>50</v>
      </c>
      <c r="F276" s="9" t="s">
        <v>310</v>
      </c>
      <c r="G276" s="11">
        <v>2936.0</v>
      </c>
      <c r="H276" s="11">
        <v>439.0</v>
      </c>
      <c r="I276" s="11">
        <v>44.0</v>
      </c>
      <c r="J276" s="11">
        <v>38168.0</v>
      </c>
      <c r="K276" s="11">
        <v>37571.0</v>
      </c>
      <c r="L276" s="11">
        <v>22.0</v>
      </c>
      <c r="M276" s="12" t="s">
        <v>33</v>
      </c>
      <c r="N276" s="12" t="s">
        <v>26</v>
      </c>
      <c r="O276" s="12" t="s">
        <v>26</v>
      </c>
      <c r="P276" s="13">
        <v>0.08957765667574932</v>
      </c>
      <c r="Q276" s="14">
        <f t="shared" si="1"/>
        <v>45564</v>
      </c>
      <c r="R276" s="13">
        <f t="shared" si="2"/>
        <v>3419</v>
      </c>
      <c r="S276" s="15" t="str">
        <f t="shared" si="3"/>
        <v>During Campaign</v>
      </c>
      <c r="T276" s="16">
        <f t="shared" si="4"/>
        <v>-3738</v>
      </c>
      <c r="U276" s="15">
        <f t="shared" si="5"/>
        <v>39</v>
      </c>
    </row>
    <row r="277" ht="14.25" customHeight="1">
      <c r="A277" s="9" t="s">
        <v>338</v>
      </c>
      <c r="B277" s="9" t="s">
        <v>298</v>
      </c>
      <c r="C277" s="10">
        <v>45719.0</v>
      </c>
      <c r="D277" s="10" t="str">
        <f>IF(
  AND(C277 &gt;= 'Campaign Metadata'!J$2, C277 &lt;= 'Campaign Metadata'!H$2),
  'Campaign Metadata'!A$2,
IF(
  AND(C277 &gt;= 'Campaign Metadata'!J$3, C277 &lt;= 'Campaign Metadata'!H$3),
  'Campaign Metadata'!A$3,
IF(
  AND(C277 &gt;= 'Campaign Metadata'!J$4, C277 &lt;= 'Campaign Metadata'!H$4),
  'Campaign Metadata'!A$4,
IF(
  AND(C277 &gt;= 'Campaign Metadata'!J$5, C277 &lt;= 'Campaign Metadata'!H$5),
  'Campaign Metadata'!A$5,
"Outside Campaign"
))))
</f>
        <v>Outside Campaign</v>
      </c>
      <c r="E277" s="9" t="s">
        <v>50</v>
      </c>
      <c r="F277" s="9" t="s">
        <v>310</v>
      </c>
      <c r="G277" s="11">
        <v>296.0</v>
      </c>
      <c r="H277" s="11">
        <v>60.0</v>
      </c>
      <c r="I277" s="11">
        <v>141.0</v>
      </c>
      <c r="J277" s="11">
        <v>5624.0</v>
      </c>
      <c r="K277" s="11">
        <v>5239.0</v>
      </c>
      <c r="L277" s="11">
        <v>88.0</v>
      </c>
      <c r="M277" s="12" t="s">
        <v>33</v>
      </c>
      <c r="N277" s="12" t="s">
        <v>26</v>
      </c>
      <c r="O277" s="12" t="s">
        <v>26</v>
      </c>
      <c r="P277" s="13">
        <v>0.08837126600284495</v>
      </c>
      <c r="Q277" s="14">
        <f t="shared" si="1"/>
        <v>45719</v>
      </c>
      <c r="R277" s="13">
        <f t="shared" si="2"/>
        <v>497</v>
      </c>
      <c r="S277" s="15" t="str">
        <f t="shared" si="3"/>
        <v>Before Campaign</v>
      </c>
      <c r="T277" s="16">
        <f t="shared" si="4"/>
        <v>-32332</v>
      </c>
      <c r="U277" s="15">
        <f t="shared" si="5"/>
        <v>10</v>
      </c>
    </row>
    <row r="278" ht="14.25" customHeight="1">
      <c r="A278" s="9" t="s">
        <v>339</v>
      </c>
      <c r="B278" s="9" t="s">
        <v>298</v>
      </c>
      <c r="C278" s="10">
        <v>45467.0</v>
      </c>
      <c r="D278" s="10" t="str">
        <f>IF(
  AND(C278 &gt;= 'Campaign Metadata'!J$2, C278 &lt;= 'Campaign Metadata'!H$2),
  'Campaign Metadata'!A$2,
IF(
  AND(C278 &gt;= 'Campaign Metadata'!J$3, C278 &lt;= 'Campaign Metadata'!H$3),
  'Campaign Metadata'!A$3,
IF(
  AND(C278 &gt;= 'Campaign Metadata'!J$4, C278 &lt;= 'Campaign Metadata'!H$4),
  'Campaign Metadata'!A$4,
IF(
  AND(C278 &gt;= 'Campaign Metadata'!J$5, C278 &lt;= 'Campaign Metadata'!H$5),
  'Campaign Metadata'!A$5,
"Outside Campaign"
))))
</f>
        <v>SummerSplash</v>
      </c>
      <c r="E278" s="9" t="s">
        <v>23</v>
      </c>
      <c r="F278" s="9" t="s">
        <v>305</v>
      </c>
      <c r="G278" s="11">
        <v>2949.0</v>
      </c>
      <c r="H278" s="11">
        <v>476.0</v>
      </c>
      <c r="I278" s="11">
        <v>403.0</v>
      </c>
      <c r="J278" s="11">
        <v>44235.0</v>
      </c>
      <c r="K278" s="11">
        <v>43705.0</v>
      </c>
      <c r="L278" s="11">
        <v>135.0</v>
      </c>
      <c r="M278" s="12" t="s">
        <v>25</v>
      </c>
      <c r="N278" s="12" t="s">
        <v>26</v>
      </c>
      <c r="O278" s="12" t="s">
        <v>26</v>
      </c>
      <c r="P278" s="13">
        <v>0.08653780942692438</v>
      </c>
      <c r="Q278" s="14">
        <f t="shared" si="1"/>
        <v>45467</v>
      </c>
      <c r="R278" s="13">
        <f t="shared" si="2"/>
        <v>3828</v>
      </c>
      <c r="S278" s="15" t="str">
        <f t="shared" si="3"/>
        <v>During Campaign</v>
      </c>
      <c r="T278" s="16">
        <f t="shared" si="4"/>
        <v>38466</v>
      </c>
      <c r="U278" s="15">
        <f t="shared" si="5"/>
        <v>26</v>
      </c>
    </row>
    <row r="279" ht="14.25" customHeight="1">
      <c r="A279" s="9" t="s">
        <v>340</v>
      </c>
      <c r="B279" s="9" t="s">
        <v>298</v>
      </c>
      <c r="C279" s="10">
        <v>45626.0</v>
      </c>
      <c r="D279" s="10" t="str">
        <f>IF(
  AND(C279 &gt;= 'Campaign Metadata'!J$2, C279 &lt;= 'Campaign Metadata'!H$2),
  'Campaign Metadata'!A$2,
IF(
  AND(C279 &gt;= 'Campaign Metadata'!J$3, C279 &lt;= 'Campaign Metadata'!H$3),
  'Campaign Metadata'!A$3,
IF(
  AND(C279 &gt;= 'Campaign Metadata'!J$4, C279 &lt;= 'Campaign Metadata'!H$4),
  'Campaign Metadata'!A$4,
IF(
  AND(C279 &gt;= 'Campaign Metadata'!J$5, C279 &lt;= 'Campaign Metadata'!H$5),
  'Campaign Metadata'!A$5,
"Outside Campaign"
))))
</f>
        <v>FestiveRadiance</v>
      </c>
      <c r="E279" s="9" t="s">
        <v>47</v>
      </c>
      <c r="F279" s="9" t="s">
        <v>299</v>
      </c>
      <c r="G279" s="11">
        <v>2509.0</v>
      </c>
      <c r="H279" s="11">
        <v>324.0</v>
      </c>
      <c r="I279" s="11">
        <v>171.0</v>
      </c>
      <c r="J279" s="11">
        <v>35126.0</v>
      </c>
      <c r="K279" s="11">
        <v>34685.0</v>
      </c>
      <c r="L279" s="11">
        <v>277.0</v>
      </c>
      <c r="M279" s="12" t="s">
        <v>25</v>
      </c>
      <c r="N279" s="12" t="s">
        <v>26</v>
      </c>
      <c r="O279" s="12" t="s">
        <v>26</v>
      </c>
      <c r="P279" s="13">
        <v>0.08552069691966065</v>
      </c>
      <c r="Q279" s="14">
        <f t="shared" si="1"/>
        <v>45626</v>
      </c>
      <c r="R279" s="13">
        <f t="shared" si="2"/>
        <v>3004</v>
      </c>
      <c r="S279" s="15" t="str">
        <f t="shared" si="3"/>
        <v>During Campaign</v>
      </c>
      <c r="T279" s="16">
        <f t="shared" si="4"/>
        <v>-9020</v>
      </c>
      <c r="U279" s="15">
        <f t="shared" si="5"/>
        <v>48</v>
      </c>
    </row>
    <row r="280" ht="14.25" customHeight="1">
      <c r="A280" s="9" t="s">
        <v>341</v>
      </c>
      <c r="B280" s="9" t="s">
        <v>298</v>
      </c>
      <c r="C280" s="10">
        <v>45449.0</v>
      </c>
      <c r="D280" s="10" t="str">
        <f>IF(
  AND(C280 &gt;= 'Campaign Metadata'!J$2, C280 &lt;= 'Campaign Metadata'!H$2),
  'Campaign Metadata'!A$2,
IF(
  AND(C280 &gt;= 'Campaign Metadata'!J$3, C280 &lt;= 'Campaign Metadata'!H$3),
  'Campaign Metadata'!A$3,
IF(
  AND(C280 &gt;= 'Campaign Metadata'!J$4, C280 &lt;= 'Campaign Metadata'!H$4),
  'Campaign Metadata'!A$4,
IF(
  AND(C280 &gt;= 'Campaign Metadata'!J$5, C280 &lt;= 'Campaign Metadata'!H$5),
  'Campaign Metadata'!A$5,
"Outside Campaign"
))))
</f>
        <v>SummerSplash</v>
      </c>
      <c r="E280" s="9" t="s">
        <v>50</v>
      </c>
      <c r="F280" s="9" t="s">
        <v>310</v>
      </c>
      <c r="G280" s="11">
        <v>2728.0</v>
      </c>
      <c r="H280" s="11">
        <v>533.0</v>
      </c>
      <c r="I280" s="11">
        <v>215.0</v>
      </c>
      <c r="J280" s="11">
        <v>40920.0</v>
      </c>
      <c r="K280" s="11">
        <v>40816.0</v>
      </c>
      <c r="L280" s="11">
        <v>137.0</v>
      </c>
      <c r="M280" s="12" t="s">
        <v>38</v>
      </c>
      <c r="N280" s="12" t="s">
        <v>26</v>
      </c>
      <c r="O280" s="12" t="s">
        <v>26</v>
      </c>
      <c r="P280" s="13">
        <v>0.08494623655913978</v>
      </c>
      <c r="Q280" s="14">
        <f t="shared" si="1"/>
        <v>45449</v>
      </c>
      <c r="R280" s="13">
        <f t="shared" si="2"/>
        <v>3476</v>
      </c>
      <c r="S280" s="15" t="str">
        <f t="shared" si="3"/>
        <v>During Campaign</v>
      </c>
      <c r="T280" s="16">
        <f t="shared" si="4"/>
        <v>6131</v>
      </c>
      <c r="U280" s="15">
        <f t="shared" si="5"/>
        <v>23</v>
      </c>
    </row>
    <row r="281" ht="14.25" customHeight="1">
      <c r="A281" s="9" t="s">
        <v>342</v>
      </c>
      <c r="B281" s="9" t="s">
        <v>298</v>
      </c>
      <c r="C281" s="10">
        <v>45567.0</v>
      </c>
      <c r="D281" s="10" t="str">
        <f>IF(
  AND(C281 &gt;= 'Campaign Metadata'!J$2, C281 &lt;= 'Campaign Metadata'!H$2),
  'Campaign Metadata'!A$2,
IF(
  AND(C281 &gt;= 'Campaign Metadata'!J$3, C281 &lt;= 'Campaign Metadata'!H$3),
  'Campaign Metadata'!A$3,
IF(
  AND(C281 &gt;= 'Campaign Metadata'!J$4, C281 &lt;= 'Campaign Metadata'!H$4),
  'Campaign Metadata'!A$4,
IF(
  AND(C281 &gt;= 'Campaign Metadata'!J$5, C281 &lt;= 'Campaign Metadata'!H$5),
  'Campaign Metadata'!A$5,
"Outside Campaign"
))))
</f>
        <v>FestiveRadiance</v>
      </c>
      <c r="E281" s="9" t="s">
        <v>31</v>
      </c>
      <c r="F281" s="9" t="s">
        <v>319</v>
      </c>
      <c r="G281" s="11">
        <v>4350.0</v>
      </c>
      <c r="H281" s="11">
        <v>771.0</v>
      </c>
      <c r="I281" s="11">
        <v>7.0</v>
      </c>
      <c r="J281" s="11">
        <v>60900.0</v>
      </c>
      <c r="K281" s="11">
        <v>60592.0</v>
      </c>
      <c r="L281" s="11">
        <v>195.0</v>
      </c>
      <c r="M281" s="12" t="s">
        <v>33</v>
      </c>
      <c r="N281" s="12" t="s">
        <v>26</v>
      </c>
      <c r="O281" s="12" t="s">
        <v>26</v>
      </c>
      <c r="P281" s="13">
        <v>0.08420361247947455</v>
      </c>
      <c r="Q281" s="14">
        <f t="shared" si="1"/>
        <v>45567</v>
      </c>
      <c r="R281" s="13">
        <f t="shared" si="2"/>
        <v>5128</v>
      </c>
      <c r="S281" s="15" t="str">
        <f t="shared" si="3"/>
        <v>During Campaign</v>
      </c>
      <c r="T281" s="16">
        <f t="shared" si="4"/>
        <v>19776</v>
      </c>
      <c r="U281" s="15">
        <f t="shared" si="5"/>
        <v>40</v>
      </c>
    </row>
    <row r="282" ht="14.25" customHeight="1">
      <c r="A282" s="9" t="s">
        <v>343</v>
      </c>
      <c r="B282" s="9" t="s">
        <v>298</v>
      </c>
      <c r="C282" s="10">
        <v>45586.0</v>
      </c>
      <c r="D282" s="10" t="str">
        <f>IF(
  AND(C282 &gt;= 'Campaign Metadata'!J$2, C282 &lt;= 'Campaign Metadata'!H$2),
  'Campaign Metadata'!A$2,
IF(
  AND(C282 &gt;= 'Campaign Metadata'!J$3, C282 &lt;= 'Campaign Metadata'!H$3),
  'Campaign Metadata'!A$3,
IF(
  AND(C282 &gt;= 'Campaign Metadata'!J$4, C282 &lt;= 'Campaign Metadata'!H$4),
  'Campaign Metadata'!A$4,
IF(
  AND(C282 &gt;= 'Campaign Metadata'!J$5, C282 &lt;= 'Campaign Metadata'!H$5),
  'Campaign Metadata'!A$5,
"Outside Campaign"
))))
</f>
        <v>FestiveRadiance</v>
      </c>
      <c r="E282" s="9" t="s">
        <v>23</v>
      </c>
      <c r="F282" s="9" t="s">
        <v>305</v>
      </c>
      <c r="G282" s="11">
        <v>4275.0</v>
      </c>
      <c r="H282" s="11">
        <v>680.0</v>
      </c>
      <c r="I282" s="11">
        <v>385.0</v>
      </c>
      <c r="J282" s="11">
        <v>64125.0</v>
      </c>
      <c r="K282" s="11">
        <v>63650.0</v>
      </c>
      <c r="L282" s="11">
        <v>104.0</v>
      </c>
      <c r="M282" s="12" t="s">
        <v>33</v>
      </c>
      <c r="N282" s="12" t="s">
        <v>25</v>
      </c>
      <c r="O282" s="12" t="s">
        <v>67</v>
      </c>
      <c r="P282" s="13">
        <v>0.08327485380116958</v>
      </c>
      <c r="Q282" s="14">
        <f t="shared" si="1"/>
        <v>45586</v>
      </c>
      <c r="R282" s="13">
        <f t="shared" si="2"/>
        <v>5340</v>
      </c>
      <c r="S282" s="15" t="str">
        <f t="shared" si="3"/>
        <v>During Campaign</v>
      </c>
      <c r="T282" s="16">
        <f t="shared" si="4"/>
        <v>3058</v>
      </c>
      <c r="U282" s="15">
        <f t="shared" si="5"/>
        <v>43</v>
      </c>
    </row>
    <row r="283" ht="14.25" customHeight="1">
      <c r="A283" s="9" t="s">
        <v>344</v>
      </c>
      <c r="B283" s="9" t="s">
        <v>298</v>
      </c>
      <c r="C283" s="10">
        <v>45614.0</v>
      </c>
      <c r="D283" s="10" t="str">
        <f>IF(
  AND(C283 &gt;= 'Campaign Metadata'!J$2, C283 &lt;= 'Campaign Metadata'!H$2),
  'Campaign Metadata'!A$2,
IF(
  AND(C283 &gt;= 'Campaign Metadata'!J$3, C283 &lt;= 'Campaign Metadata'!H$3),
  'Campaign Metadata'!A$3,
IF(
  AND(C283 &gt;= 'Campaign Metadata'!J$4, C283 &lt;= 'Campaign Metadata'!H$4),
  'Campaign Metadata'!A$4,
IF(
  AND(C283 &gt;= 'Campaign Metadata'!J$5, C283 &lt;= 'Campaign Metadata'!H$5),
  'Campaign Metadata'!A$5,
"Outside Campaign"
))))
</f>
        <v>FestiveRadiance</v>
      </c>
      <c r="E283" s="9" t="s">
        <v>47</v>
      </c>
      <c r="F283" s="9" t="s">
        <v>299</v>
      </c>
      <c r="G283" s="11">
        <v>1171.0</v>
      </c>
      <c r="H283" s="11">
        <v>286.0</v>
      </c>
      <c r="I283" s="11">
        <v>231.0</v>
      </c>
      <c r="J283" s="11">
        <v>22249.0</v>
      </c>
      <c r="K283" s="11">
        <v>21282.0</v>
      </c>
      <c r="L283" s="11">
        <v>114.0</v>
      </c>
      <c r="M283" s="12" t="s">
        <v>33</v>
      </c>
      <c r="N283" s="12" t="s">
        <v>26</v>
      </c>
      <c r="O283" s="12" t="s">
        <v>26</v>
      </c>
      <c r="P283" s="13">
        <v>0.0758685783630725</v>
      </c>
      <c r="Q283" s="14">
        <f t="shared" si="1"/>
        <v>45614</v>
      </c>
      <c r="R283" s="13">
        <f t="shared" si="2"/>
        <v>1688</v>
      </c>
      <c r="S283" s="15" t="str">
        <f t="shared" si="3"/>
        <v>During Campaign</v>
      </c>
      <c r="T283" s="16">
        <f t="shared" si="4"/>
        <v>-42368</v>
      </c>
      <c r="U283" s="15">
        <f t="shared" si="5"/>
        <v>47</v>
      </c>
    </row>
    <row r="284" ht="14.25" customHeight="1">
      <c r="A284" s="9" t="s">
        <v>345</v>
      </c>
      <c r="B284" s="9" t="s">
        <v>298</v>
      </c>
      <c r="C284" s="10">
        <v>45619.0</v>
      </c>
      <c r="D284" s="10" t="str">
        <f>IF(
  AND(C284 &gt;= 'Campaign Metadata'!J$2, C284 &lt;= 'Campaign Metadata'!H$2),
  'Campaign Metadata'!A$2,
IF(
  AND(C284 &gt;= 'Campaign Metadata'!J$3, C284 &lt;= 'Campaign Metadata'!H$3),
  'Campaign Metadata'!A$3,
IF(
  AND(C284 &gt;= 'Campaign Metadata'!J$4, C284 &lt;= 'Campaign Metadata'!H$4),
  'Campaign Metadata'!A$4,
IF(
  AND(C284 &gt;= 'Campaign Metadata'!J$5, C284 &lt;= 'Campaign Metadata'!H$5),
  'Campaign Metadata'!A$5,
"Outside Campaign"
))))
</f>
        <v>FestiveRadiance</v>
      </c>
      <c r="E284" s="9" t="s">
        <v>28</v>
      </c>
      <c r="F284" s="9" t="s">
        <v>301</v>
      </c>
      <c r="G284" s="11">
        <v>2719.0</v>
      </c>
      <c r="H284" s="11">
        <v>17.0</v>
      </c>
      <c r="I284" s="11">
        <v>285.0</v>
      </c>
      <c r="J284" s="11">
        <v>40785.0</v>
      </c>
      <c r="K284" s="11">
        <v>40281.0</v>
      </c>
      <c r="L284" s="11">
        <v>40.0</v>
      </c>
      <c r="M284" s="12" t="s">
        <v>25</v>
      </c>
      <c r="N284" s="12" t="s">
        <v>26</v>
      </c>
      <c r="O284" s="12" t="s">
        <v>26</v>
      </c>
      <c r="P284" s="13">
        <v>0.07407134976094153</v>
      </c>
      <c r="Q284" s="14">
        <f t="shared" si="1"/>
        <v>45619</v>
      </c>
      <c r="R284" s="13">
        <f t="shared" si="2"/>
        <v>3021</v>
      </c>
      <c r="S284" s="15" t="str">
        <f t="shared" si="3"/>
        <v>During Campaign</v>
      </c>
      <c r="T284" s="16">
        <f t="shared" si="4"/>
        <v>18999</v>
      </c>
      <c r="U284" s="15">
        <f t="shared" si="5"/>
        <v>47</v>
      </c>
    </row>
    <row r="285" ht="14.25" customHeight="1">
      <c r="A285" s="9" t="s">
        <v>346</v>
      </c>
      <c r="B285" s="9" t="s">
        <v>298</v>
      </c>
      <c r="C285" s="10">
        <v>45583.0</v>
      </c>
      <c r="D285" s="10" t="str">
        <f>IF(
  AND(C285 &gt;= 'Campaign Metadata'!J$2, C285 &lt;= 'Campaign Metadata'!H$2),
  'Campaign Metadata'!A$2,
IF(
  AND(C285 &gt;= 'Campaign Metadata'!J$3, C285 &lt;= 'Campaign Metadata'!H$3),
  'Campaign Metadata'!A$3,
IF(
  AND(C285 &gt;= 'Campaign Metadata'!J$4, C285 &lt;= 'Campaign Metadata'!H$4),
  'Campaign Metadata'!A$4,
IF(
  AND(C285 &gt;= 'Campaign Metadata'!J$5, C285 &lt;= 'Campaign Metadata'!H$5),
  'Campaign Metadata'!A$5,
"Outside Campaign"
))))
</f>
        <v>FestiveRadiance</v>
      </c>
      <c r="E285" s="9" t="s">
        <v>23</v>
      </c>
      <c r="F285" s="9" t="s">
        <v>305</v>
      </c>
      <c r="G285" s="11">
        <v>4450.0</v>
      </c>
      <c r="H285" s="11">
        <v>983.0</v>
      </c>
      <c r="I285" s="11">
        <v>143.0</v>
      </c>
      <c r="J285" s="11">
        <v>75650.0</v>
      </c>
      <c r="K285" s="11">
        <v>75008.0</v>
      </c>
      <c r="L285" s="11">
        <v>12.0</v>
      </c>
      <c r="M285" s="12" t="s">
        <v>38</v>
      </c>
      <c r="N285" s="12" t="s">
        <v>26</v>
      </c>
      <c r="O285" s="12" t="s">
        <v>26</v>
      </c>
      <c r="P285" s="13">
        <v>0.07370786516853933</v>
      </c>
      <c r="Q285" s="14">
        <f t="shared" si="1"/>
        <v>45583</v>
      </c>
      <c r="R285" s="13">
        <f t="shared" si="2"/>
        <v>5576</v>
      </c>
      <c r="S285" s="15" t="str">
        <f t="shared" si="3"/>
        <v>During Campaign</v>
      </c>
      <c r="T285" s="16">
        <f t="shared" si="4"/>
        <v>34727</v>
      </c>
      <c r="U285" s="15">
        <f t="shared" si="5"/>
        <v>42</v>
      </c>
    </row>
    <row r="286" ht="14.25" customHeight="1">
      <c r="A286" s="9" t="s">
        <v>347</v>
      </c>
      <c r="B286" s="9" t="s">
        <v>298</v>
      </c>
      <c r="C286" s="10">
        <v>45475.0</v>
      </c>
      <c r="D286" s="10" t="str">
        <f>IF(
  AND(C286 &gt;= 'Campaign Metadata'!J$2, C286 &lt;= 'Campaign Metadata'!H$2),
  'Campaign Metadata'!A$2,
IF(
  AND(C286 &gt;= 'Campaign Metadata'!J$3, C286 &lt;= 'Campaign Metadata'!H$3),
  'Campaign Metadata'!A$3,
IF(
  AND(C286 &gt;= 'Campaign Metadata'!J$4, C286 &lt;= 'Campaign Metadata'!H$4),
  'Campaign Metadata'!A$4,
IF(
  AND(C286 &gt;= 'Campaign Metadata'!J$5, C286 &lt;= 'Campaign Metadata'!H$5),
  'Campaign Metadata'!A$5,
"Outside Campaign"
))))
</f>
        <v>SummerSplash</v>
      </c>
      <c r="E286" s="9" t="s">
        <v>47</v>
      </c>
      <c r="F286" s="9" t="s">
        <v>299</v>
      </c>
      <c r="G286" s="11">
        <v>4171.0</v>
      </c>
      <c r="H286" s="11">
        <v>548.0</v>
      </c>
      <c r="I286" s="11">
        <v>86.0</v>
      </c>
      <c r="J286" s="11">
        <v>66736.0</v>
      </c>
      <c r="K286" s="11">
        <v>66634.0</v>
      </c>
      <c r="L286" s="11">
        <v>173.0</v>
      </c>
      <c r="M286" s="12" t="s">
        <v>38</v>
      </c>
      <c r="N286" s="12" t="s">
        <v>26</v>
      </c>
      <c r="O286" s="12" t="s">
        <v>26</v>
      </c>
      <c r="P286" s="13">
        <v>0.07200011987532966</v>
      </c>
      <c r="Q286" s="14">
        <f t="shared" si="1"/>
        <v>45475</v>
      </c>
      <c r="R286" s="13">
        <f t="shared" si="2"/>
        <v>4805</v>
      </c>
      <c r="S286" s="15" t="str">
        <f t="shared" si="3"/>
        <v>During Campaign</v>
      </c>
      <c r="T286" s="16">
        <f t="shared" si="4"/>
        <v>-8374</v>
      </c>
      <c r="U286" s="15">
        <f t="shared" si="5"/>
        <v>27</v>
      </c>
    </row>
    <row r="287" ht="14.25" customHeight="1">
      <c r="A287" s="9" t="s">
        <v>348</v>
      </c>
      <c r="B287" s="9" t="s">
        <v>298</v>
      </c>
      <c r="C287" s="10">
        <v>45552.0</v>
      </c>
      <c r="D287" s="10" t="str">
        <f>IF(
  AND(C287 &gt;= 'Campaign Metadata'!J$2, C287 &lt;= 'Campaign Metadata'!H$2),
  'Campaign Metadata'!A$2,
IF(
  AND(C287 &gt;= 'Campaign Metadata'!J$3, C287 &lt;= 'Campaign Metadata'!H$3),
  'Campaign Metadata'!A$3,
IF(
  AND(C287 &gt;= 'Campaign Metadata'!J$4, C287 &lt;= 'Campaign Metadata'!H$4),
  'Campaign Metadata'!A$4,
IF(
  AND(C287 &gt;= 'Campaign Metadata'!J$5, C287 &lt;= 'Campaign Metadata'!H$5),
  'Campaign Metadata'!A$5,
"Outside Campaign"
))))
</f>
        <v>SummerSplash</v>
      </c>
      <c r="E287" s="9" t="s">
        <v>35</v>
      </c>
      <c r="F287" s="9" t="s">
        <v>307</v>
      </c>
      <c r="G287" s="11">
        <v>2076.0</v>
      </c>
      <c r="H287" s="11">
        <v>195.0</v>
      </c>
      <c r="I287" s="11">
        <v>104.0</v>
      </c>
      <c r="J287" s="11">
        <v>33216.0</v>
      </c>
      <c r="K287" s="11">
        <v>32244.0</v>
      </c>
      <c r="L287" s="11">
        <v>51.0</v>
      </c>
      <c r="M287" s="12" t="s">
        <v>38</v>
      </c>
      <c r="N287" s="12" t="s">
        <v>26</v>
      </c>
      <c r="O287" s="12" t="s">
        <v>26</v>
      </c>
      <c r="P287" s="13">
        <v>0.0715016859344894</v>
      </c>
      <c r="Q287" s="14">
        <f t="shared" si="1"/>
        <v>45552</v>
      </c>
      <c r="R287" s="13">
        <f t="shared" si="2"/>
        <v>2375</v>
      </c>
      <c r="S287" s="15" t="str">
        <f t="shared" si="3"/>
        <v>During Campaign</v>
      </c>
      <c r="T287" s="16">
        <f t="shared" si="4"/>
        <v>-34390</v>
      </c>
      <c r="U287" s="15">
        <f t="shared" si="5"/>
        <v>38</v>
      </c>
    </row>
    <row r="288" ht="14.25" customHeight="1">
      <c r="A288" s="9" t="s">
        <v>349</v>
      </c>
      <c r="B288" s="9" t="s">
        <v>298</v>
      </c>
      <c r="C288" s="10">
        <v>45741.0</v>
      </c>
      <c r="D288" s="10" t="str">
        <f>IF(
  AND(C288 &gt;= 'Campaign Metadata'!J$2, C288 &lt;= 'Campaign Metadata'!H$2),
  'Campaign Metadata'!A$2,
IF(
  AND(C288 &gt;= 'Campaign Metadata'!J$3, C288 &lt;= 'Campaign Metadata'!H$3),
  'Campaign Metadata'!A$3,
IF(
  AND(C288 &gt;= 'Campaign Metadata'!J$4, C288 &lt;= 'Campaign Metadata'!H$4),
  'Campaign Metadata'!A$4,
IF(
  AND(C288 &gt;= 'Campaign Metadata'!J$5, C288 &lt;= 'Campaign Metadata'!H$5),
  'Campaign Metadata'!A$5,
"Outside Campaign"
))))
</f>
        <v>Outside Campaign</v>
      </c>
      <c r="E288" s="9" t="s">
        <v>31</v>
      </c>
      <c r="F288" s="9" t="s">
        <v>319</v>
      </c>
      <c r="G288" s="11">
        <v>2070.0</v>
      </c>
      <c r="H288" s="11">
        <v>275.0</v>
      </c>
      <c r="I288" s="11">
        <v>386.0</v>
      </c>
      <c r="J288" s="11">
        <v>39330.0</v>
      </c>
      <c r="K288" s="11">
        <v>38627.0</v>
      </c>
      <c r="L288" s="11">
        <v>114.0</v>
      </c>
      <c r="M288" s="12" t="s">
        <v>38</v>
      </c>
      <c r="N288" s="12" t="s">
        <v>26</v>
      </c>
      <c r="O288" s="12" t="s">
        <v>26</v>
      </c>
      <c r="P288" s="13">
        <v>0.06943808797355708</v>
      </c>
      <c r="Q288" s="14">
        <f t="shared" si="1"/>
        <v>45741</v>
      </c>
      <c r="R288" s="13">
        <f t="shared" si="2"/>
        <v>2731</v>
      </c>
      <c r="S288" s="15" t="str">
        <f t="shared" si="3"/>
        <v>Before Campaign</v>
      </c>
      <c r="T288" s="16">
        <f t="shared" si="4"/>
        <v>6383</v>
      </c>
      <c r="U288" s="15">
        <f t="shared" si="5"/>
        <v>13</v>
      </c>
    </row>
    <row r="289" ht="14.25" customHeight="1">
      <c r="A289" s="9" t="s">
        <v>350</v>
      </c>
      <c r="B289" s="9" t="s">
        <v>298</v>
      </c>
      <c r="C289" s="10">
        <v>45764.0</v>
      </c>
      <c r="D289" s="10" t="str">
        <f>IF(
  AND(C289 &gt;= 'Campaign Metadata'!J$2, C289 &lt;= 'Campaign Metadata'!H$2),
  'Campaign Metadata'!A$2,
IF(
  AND(C289 &gt;= 'Campaign Metadata'!J$3, C289 &lt;= 'Campaign Metadata'!H$3),
  'Campaign Metadata'!A$3,
IF(
  AND(C289 &gt;= 'Campaign Metadata'!J$4, C289 &lt;= 'Campaign Metadata'!H$4),
  'Campaign Metadata'!A$4,
IF(
  AND(C289 &gt;= 'Campaign Metadata'!J$5, C289 &lt;= 'Campaign Metadata'!H$5),
  'Campaign Metadata'!A$5,
"Outside Campaign"
))))
</f>
        <v>Outside Campaign</v>
      </c>
      <c r="E289" s="9" t="s">
        <v>47</v>
      </c>
      <c r="F289" s="9" t="s">
        <v>299</v>
      </c>
      <c r="G289" s="11">
        <v>4780.0</v>
      </c>
      <c r="H289" s="11">
        <v>691.0</v>
      </c>
      <c r="I289" s="11">
        <v>380.0</v>
      </c>
      <c r="J289" s="11">
        <v>86040.0</v>
      </c>
      <c r="K289" s="11">
        <v>85743.0</v>
      </c>
      <c r="L289" s="11">
        <v>262.0</v>
      </c>
      <c r="M289" s="12" t="s">
        <v>38</v>
      </c>
      <c r="N289" s="12" t="s">
        <v>26</v>
      </c>
      <c r="O289" s="12" t="s">
        <v>26</v>
      </c>
      <c r="P289" s="13">
        <v>0.06800325430032543</v>
      </c>
      <c r="Q289" s="14">
        <f t="shared" si="1"/>
        <v>45764</v>
      </c>
      <c r="R289" s="13">
        <f t="shared" si="2"/>
        <v>5851</v>
      </c>
      <c r="S289" s="15" t="str">
        <f t="shared" si="3"/>
        <v>Before Campaign</v>
      </c>
      <c r="T289" s="16">
        <f t="shared" si="4"/>
        <v>47116</v>
      </c>
      <c r="U289" s="15">
        <f t="shared" si="5"/>
        <v>16</v>
      </c>
    </row>
    <row r="290" ht="14.25" customHeight="1">
      <c r="A290" s="9" t="s">
        <v>351</v>
      </c>
      <c r="B290" s="9" t="s">
        <v>298</v>
      </c>
      <c r="C290" s="10">
        <v>45672.0</v>
      </c>
      <c r="D290" s="10" t="str">
        <f>IF(
  AND(C290 &gt;= 'Campaign Metadata'!J$2, C290 &lt;= 'Campaign Metadata'!H$2),
  'Campaign Metadata'!A$2,
IF(
  AND(C290 &gt;= 'Campaign Metadata'!J$3, C290 &lt;= 'Campaign Metadata'!H$3),
  'Campaign Metadata'!A$3,
IF(
  AND(C290 &gt;= 'Campaign Metadata'!J$4, C290 &lt;= 'Campaign Metadata'!H$4),
  'Campaign Metadata'!A$4,
IF(
  AND(C290 &gt;= 'Campaign Metadata'!J$5, C290 &lt;= 'Campaign Metadata'!H$5),
  'Campaign Metadata'!A$5,
"Outside Campaign"
))))
</f>
        <v>NewYearRefresh</v>
      </c>
      <c r="E290" s="9" t="s">
        <v>50</v>
      </c>
      <c r="F290" s="9" t="s">
        <v>310</v>
      </c>
      <c r="G290" s="11">
        <v>3774.0</v>
      </c>
      <c r="H290" s="11">
        <v>239.0</v>
      </c>
      <c r="I290" s="11">
        <v>39.0</v>
      </c>
      <c r="J290" s="11">
        <v>60384.0</v>
      </c>
      <c r="K290" s="11">
        <v>59490.0</v>
      </c>
      <c r="L290" s="11">
        <v>241.0</v>
      </c>
      <c r="M290" s="12" t="s">
        <v>25</v>
      </c>
      <c r="N290" s="12" t="s">
        <v>26</v>
      </c>
      <c r="O290" s="12" t="s">
        <v>26</v>
      </c>
      <c r="P290" s="13">
        <v>0.06710386857445681</v>
      </c>
      <c r="Q290" s="14">
        <f t="shared" si="1"/>
        <v>45672</v>
      </c>
      <c r="R290" s="13">
        <f t="shared" si="2"/>
        <v>4052</v>
      </c>
      <c r="S290" s="15" t="str">
        <f t="shared" si="3"/>
        <v>During Campaign</v>
      </c>
      <c r="T290" s="16">
        <f t="shared" si="4"/>
        <v>-26253</v>
      </c>
      <c r="U290" s="15">
        <f t="shared" si="5"/>
        <v>3</v>
      </c>
    </row>
    <row r="291" ht="14.25" customHeight="1">
      <c r="A291" s="9" t="s">
        <v>352</v>
      </c>
      <c r="B291" s="9" t="s">
        <v>298</v>
      </c>
      <c r="C291" s="10">
        <v>45469.0</v>
      </c>
      <c r="D291" s="10" t="str">
        <f>IF(
  AND(C291 &gt;= 'Campaign Metadata'!J$2, C291 &lt;= 'Campaign Metadata'!H$2),
  'Campaign Metadata'!A$2,
IF(
  AND(C291 &gt;= 'Campaign Metadata'!J$3, C291 &lt;= 'Campaign Metadata'!H$3),
  'Campaign Metadata'!A$3,
IF(
  AND(C291 &gt;= 'Campaign Metadata'!J$4, C291 &lt;= 'Campaign Metadata'!H$4),
  'Campaign Metadata'!A$4,
IF(
  AND(C291 &gt;= 'Campaign Metadata'!J$5, C291 &lt;= 'Campaign Metadata'!H$5),
  'Campaign Metadata'!A$5,
"Outside Campaign"
))))
</f>
        <v>SummerSplash</v>
      </c>
      <c r="E291" s="9" t="s">
        <v>50</v>
      </c>
      <c r="F291" s="9" t="s">
        <v>310</v>
      </c>
      <c r="G291" s="11">
        <v>3557.0</v>
      </c>
      <c r="H291" s="11">
        <v>687.0</v>
      </c>
      <c r="I291" s="11">
        <v>424.0</v>
      </c>
      <c r="J291" s="11">
        <v>71140.0</v>
      </c>
      <c r="K291" s="11">
        <v>70701.0</v>
      </c>
      <c r="L291" s="11">
        <v>224.0</v>
      </c>
      <c r="M291" s="12" t="s">
        <v>33</v>
      </c>
      <c r="N291" s="12" t="s">
        <v>25</v>
      </c>
      <c r="O291" s="12" t="s">
        <v>26</v>
      </c>
      <c r="P291" s="13">
        <v>0.06561709305594603</v>
      </c>
      <c r="Q291" s="14">
        <f t="shared" si="1"/>
        <v>45469</v>
      </c>
      <c r="R291" s="13">
        <f t="shared" si="2"/>
        <v>4668</v>
      </c>
      <c r="S291" s="15" t="str">
        <f t="shared" si="3"/>
        <v>During Campaign</v>
      </c>
      <c r="T291" s="16">
        <f t="shared" si="4"/>
        <v>11211</v>
      </c>
      <c r="U291" s="15">
        <f t="shared" si="5"/>
        <v>26</v>
      </c>
    </row>
    <row r="292" ht="14.25" customHeight="1">
      <c r="A292" s="9" t="s">
        <v>353</v>
      </c>
      <c r="B292" s="9" t="s">
        <v>298</v>
      </c>
      <c r="C292" s="10">
        <v>45684.0</v>
      </c>
      <c r="D292" s="10" t="str">
        <f>IF(
  AND(C292 &gt;= 'Campaign Metadata'!J$2, C292 &lt;= 'Campaign Metadata'!H$2),
  'Campaign Metadata'!A$2,
IF(
  AND(C292 &gt;= 'Campaign Metadata'!J$3, C292 &lt;= 'Campaign Metadata'!H$3),
  'Campaign Metadata'!A$3,
IF(
  AND(C292 &gt;= 'Campaign Metadata'!J$4, C292 &lt;= 'Campaign Metadata'!H$4),
  'Campaign Metadata'!A$4,
IF(
  AND(C292 &gt;= 'Campaign Metadata'!J$5, C292 &lt;= 'Campaign Metadata'!H$5),
  'Campaign Metadata'!A$5,
"Outside Campaign"
))))
</f>
        <v>NewYearRefresh</v>
      </c>
      <c r="E292" s="9" t="s">
        <v>35</v>
      </c>
      <c r="F292" s="9" t="s">
        <v>307</v>
      </c>
      <c r="G292" s="11">
        <v>3428.0</v>
      </c>
      <c r="H292" s="11">
        <v>305.0</v>
      </c>
      <c r="I292" s="11">
        <v>85.0</v>
      </c>
      <c r="J292" s="11">
        <v>58276.0</v>
      </c>
      <c r="K292" s="11">
        <v>58052.0</v>
      </c>
      <c r="L292" s="11">
        <v>242.0</v>
      </c>
      <c r="M292" s="12" t="s">
        <v>33</v>
      </c>
      <c r="N292" s="12" t="s">
        <v>77</v>
      </c>
      <c r="O292" s="12" t="s">
        <v>26</v>
      </c>
      <c r="P292" s="13">
        <v>0.06551582126432837</v>
      </c>
      <c r="Q292" s="14">
        <f t="shared" si="1"/>
        <v>45684</v>
      </c>
      <c r="R292" s="13">
        <f t="shared" si="2"/>
        <v>3818</v>
      </c>
      <c r="S292" s="15" t="str">
        <f t="shared" si="3"/>
        <v>During Campaign</v>
      </c>
      <c r="T292" s="16">
        <f t="shared" si="4"/>
        <v>-12649</v>
      </c>
      <c r="U292" s="15">
        <f t="shared" si="5"/>
        <v>5</v>
      </c>
    </row>
    <row r="293" ht="14.25" customHeight="1">
      <c r="A293" s="9" t="s">
        <v>354</v>
      </c>
      <c r="B293" s="9" t="s">
        <v>298</v>
      </c>
      <c r="C293" s="10">
        <v>45593.0</v>
      </c>
      <c r="D293" s="10" t="str">
        <f>IF(
  AND(C293 &gt;= 'Campaign Metadata'!J$2, C293 &lt;= 'Campaign Metadata'!H$2),
  'Campaign Metadata'!A$2,
IF(
  AND(C293 &gt;= 'Campaign Metadata'!J$3, C293 &lt;= 'Campaign Metadata'!H$3),
  'Campaign Metadata'!A$3,
IF(
  AND(C293 &gt;= 'Campaign Metadata'!J$4, C293 &lt;= 'Campaign Metadata'!H$4),
  'Campaign Metadata'!A$4,
IF(
  AND(C293 &gt;= 'Campaign Metadata'!J$5, C293 &lt;= 'Campaign Metadata'!H$5),
  'Campaign Metadata'!A$5,
"Outside Campaign"
))))
</f>
        <v>FestiveRadiance</v>
      </c>
      <c r="E293" s="9" t="s">
        <v>31</v>
      </c>
      <c r="F293" s="9" t="s">
        <v>319</v>
      </c>
      <c r="G293" s="11">
        <v>4929.0</v>
      </c>
      <c r="H293" s="11">
        <v>749.0</v>
      </c>
      <c r="I293" s="11">
        <v>452.0</v>
      </c>
      <c r="J293" s="11">
        <v>93651.0</v>
      </c>
      <c r="K293" s="11">
        <v>92810.0</v>
      </c>
      <c r="L293" s="11">
        <v>66.0</v>
      </c>
      <c r="M293" s="12" t="s">
        <v>33</v>
      </c>
      <c r="N293" s="12" t="s">
        <v>26</v>
      </c>
      <c r="O293" s="12" t="s">
        <v>26</v>
      </c>
      <c r="P293" s="13">
        <v>0.06545578797877225</v>
      </c>
      <c r="Q293" s="14">
        <f t="shared" si="1"/>
        <v>45593</v>
      </c>
      <c r="R293" s="13">
        <f t="shared" si="2"/>
        <v>6130</v>
      </c>
      <c r="S293" s="15" t="str">
        <f t="shared" si="3"/>
        <v>During Campaign</v>
      </c>
      <c r="T293" s="16">
        <f t="shared" si="4"/>
        <v>34758</v>
      </c>
      <c r="U293" s="15">
        <f t="shared" si="5"/>
        <v>44</v>
      </c>
    </row>
    <row r="294" ht="14.25" customHeight="1">
      <c r="A294" s="9" t="s">
        <v>355</v>
      </c>
      <c r="B294" s="9" t="s">
        <v>298</v>
      </c>
      <c r="C294" s="10">
        <v>45526.0</v>
      </c>
      <c r="D294" s="10" t="str">
        <f>IF(
  AND(C294 &gt;= 'Campaign Metadata'!J$2, C294 &lt;= 'Campaign Metadata'!H$2),
  'Campaign Metadata'!A$2,
IF(
  AND(C294 &gt;= 'Campaign Metadata'!J$3, C294 &lt;= 'Campaign Metadata'!H$3),
  'Campaign Metadata'!A$3,
IF(
  AND(C294 &gt;= 'Campaign Metadata'!J$4, C294 &lt;= 'Campaign Metadata'!H$4),
  'Campaign Metadata'!A$4,
IF(
  AND(C294 &gt;= 'Campaign Metadata'!J$5, C294 &lt;= 'Campaign Metadata'!H$5),
  'Campaign Metadata'!A$5,
"Outside Campaign"
))))
</f>
        <v>SummerSplash</v>
      </c>
      <c r="E294" s="9" t="s">
        <v>47</v>
      </c>
      <c r="F294" s="9" t="s">
        <v>299</v>
      </c>
      <c r="G294" s="11">
        <v>4295.0</v>
      </c>
      <c r="H294" s="11">
        <v>853.0</v>
      </c>
      <c r="I294" s="11">
        <v>325.0</v>
      </c>
      <c r="J294" s="11">
        <v>85900.0</v>
      </c>
      <c r="K294" s="11">
        <v>85788.0</v>
      </c>
      <c r="L294" s="11">
        <v>290.0</v>
      </c>
      <c r="M294" s="12" t="s">
        <v>25</v>
      </c>
      <c r="N294" s="12" t="s">
        <v>26</v>
      </c>
      <c r="O294" s="12" t="s">
        <v>26</v>
      </c>
      <c r="P294" s="13">
        <v>0.06371362048894062</v>
      </c>
      <c r="Q294" s="14">
        <f t="shared" si="1"/>
        <v>45526</v>
      </c>
      <c r="R294" s="13">
        <f t="shared" si="2"/>
        <v>5473</v>
      </c>
      <c r="S294" s="15" t="str">
        <f t="shared" si="3"/>
        <v>During Campaign</v>
      </c>
      <c r="T294" s="16">
        <f t="shared" si="4"/>
        <v>-7022</v>
      </c>
      <c r="U294" s="15">
        <f t="shared" si="5"/>
        <v>34</v>
      </c>
    </row>
    <row r="295" ht="14.25" customHeight="1">
      <c r="A295" s="9" t="s">
        <v>356</v>
      </c>
      <c r="B295" s="9" t="s">
        <v>298</v>
      </c>
      <c r="C295" s="10">
        <v>45738.0</v>
      </c>
      <c r="D295" s="10" t="str">
        <f>IF(
  AND(C295 &gt;= 'Campaign Metadata'!J$2, C295 &lt;= 'Campaign Metadata'!H$2),
  'Campaign Metadata'!A$2,
IF(
  AND(C295 &gt;= 'Campaign Metadata'!J$3, C295 &lt;= 'Campaign Metadata'!H$3),
  'Campaign Metadata'!A$3,
IF(
  AND(C295 &gt;= 'Campaign Metadata'!J$4, C295 &lt;= 'Campaign Metadata'!H$4),
  'Campaign Metadata'!A$4,
IF(
  AND(C295 &gt;= 'Campaign Metadata'!J$5, C295 &lt;= 'Campaign Metadata'!H$5),
  'Campaign Metadata'!A$5,
"Outside Campaign"
))))
</f>
        <v>Outside Campaign</v>
      </c>
      <c r="E295" s="9" t="s">
        <v>28</v>
      </c>
      <c r="F295" s="9" t="s">
        <v>301</v>
      </c>
      <c r="G295" s="11">
        <v>3166.0</v>
      </c>
      <c r="H295" s="11">
        <v>90.0</v>
      </c>
      <c r="I295" s="11">
        <v>341.0</v>
      </c>
      <c r="J295" s="11">
        <v>56988.0</v>
      </c>
      <c r="K295" s="11">
        <v>56125.0</v>
      </c>
      <c r="L295" s="11">
        <v>135.0</v>
      </c>
      <c r="M295" s="12" t="s">
        <v>33</v>
      </c>
      <c r="N295" s="12" t="s">
        <v>26</v>
      </c>
      <c r="O295" s="12" t="s">
        <v>26</v>
      </c>
      <c r="P295" s="13">
        <v>0.06311855127395241</v>
      </c>
      <c r="Q295" s="14">
        <f t="shared" si="1"/>
        <v>45738</v>
      </c>
      <c r="R295" s="13">
        <f t="shared" si="2"/>
        <v>3597</v>
      </c>
      <c r="S295" s="15" t="str">
        <f t="shared" si="3"/>
        <v>Before Campaign</v>
      </c>
      <c r="T295" s="16">
        <f t="shared" si="4"/>
        <v>-29663</v>
      </c>
      <c r="U295" s="15">
        <f t="shared" si="5"/>
        <v>12</v>
      </c>
    </row>
    <row r="296" ht="14.25" customHeight="1">
      <c r="A296" s="9" t="s">
        <v>357</v>
      </c>
      <c r="B296" s="9" t="s">
        <v>298</v>
      </c>
      <c r="C296" s="10">
        <v>45464.0</v>
      </c>
      <c r="D296" s="10" t="str">
        <f>IF(
  AND(C296 &gt;= 'Campaign Metadata'!J$2, C296 &lt;= 'Campaign Metadata'!H$2),
  'Campaign Metadata'!A$2,
IF(
  AND(C296 &gt;= 'Campaign Metadata'!J$3, C296 &lt;= 'Campaign Metadata'!H$3),
  'Campaign Metadata'!A$3,
IF(
  AND(C296 &gt;= 'Campaign Metadata'!J$4, C296 &lt;= 'Campaign Metadata'!H$4),
  'Campaign Metadata'!A$4,
IF(
  AND(C296 &gt;= 'Campaign Metadata'!J$5, C296 &lt;= 'Campaign Metadata'!H$5),
  'Campaign Metadata'!A$5,
"Outside Campaign"
))))
</f>
        <v>SummerSplash</v>
      </c>
      <c r="E296" s="9" t="s">
        <v>28</v>
      </c>
      <c r="F296" s="9" t="s">
        <v>301</v>
      </c>
      <c r="G296" s="11">
        <v>4832.0</v>
      </c>
      <c r="H296" s="11">
        <v>893.0</v>
      </c>
      <c r="I296" s="11">
        <v>10.0</v>
      </c>
      <c r="J296" s="11">
        <v>91808.0</v>
      </c>
      <c r="K296" s="11">
        <v>91296.0</v>
      </c>
      <c r="L296" s="11">
        <v>182.0</v>
      </c>
      <c r="M296" s="12" t="s">
        <v>25</v>
      </c>
      <c r="N296" s="12" t="s">
        <v>26</v>
      </c>
      <c r="O296" s="12" t="s">
        <v>26</v>
      </c>
      <c r="P296" s="13">
        <v>0.06246732310909724</v>
      </c>
      <c r="Q296" s="14">
        <f t="shared" si="1"/>
        <v>45464</v>
      </c>
      <c r="R296" s="13">
        <f t="shared" si="2"/>
        <v>5735</v>
      </c>
      <c r="S296" s="15" t="str">
        <f t="shared" si="3"/>
        <v>During Campaign</v>
      </c>
      <c r="T296" s="16">
        <f t="shared" si="4"/>
        <v>35171</v>
      </c>
      <c r="U296" s="15">
        <f t="shared" si="5"/>
        <v>25</v>
      </c>
    </row>
    <row r="297" ht="14.25" customHeight="1">
      <c r="A297" s="9" t="s">
        <v>358</v>
      </c>
      <c r="B297" s="9" t="s">
        <v>298</v>
      </c>
      <c r="C297" s="10">
        <v>45537.0</v>
      </c>
      <c r="D297" s="10" t="str">
        <f>IF(
  AND(C297 &gt;= 'Campaign Metadata'!J$2, C297 &lt;= 'Campaign Metadata'!H$2),
  'Campaign Metadata'!A$2,
IF(
  AND(C297 &gt;= 'Campaign Metadata'!J$3, C297 &lt;= 'Campaign Metadata'!H$3),
  'Campaign Metadata'!A$3,
IF(
  AND(C297 &gt;= 'Campaign Metadata'!J$4, C297 &lt;= 'Campaign Metadata'!H$4),
  'Campaign Metadata'!A$4,
IF(
  AND(C297 &gt;= 'Campaign Metadata'!J$5, C297 &lt;= 'Campaign Metadata'!H$5),
  'Campaign Metadata'!A$5,
"Outside Campaign"
))))
</f>
        <v>SummerSplash</v>
      </c>
      <c r="E297" s="9" t="s">
        <v>28</v>
      </c>
      <c r="F297" s="9" t="s">
        <v>301</v>
      </c>
      <c r="G297" s="11">
        <v>4905.0</v>
      </c>
      <c r="H297" s="11">
        <v>845.0</v>
      </c>
      <c r="I297" s="11">
        <v>129.0</v>
      </c>
      <c r="J297" s="11">
        <v>98100.0</v>
      </c>
      <c r="K297" s="11">
        <v>97772.0</v>
      </c>
      <c r="L297" s="11">
        <v>279.0</v>
      </c>
      <c r="M297" s="12" t="s">
        <v>25</v>
      </c>
      <c r="N297" s="12" t="s">
        <v>26</v>
      </c>
      <c r="O297" s="12" t="s">
        <v>26</v>
      </c>
      <c r="P297" s="13">
        <v>0.059928644240570844</v>
      </c>
      <c r="Q297" s="14">
        <f t="shared" si="1"/>
        <v>45537</v>
      </c>
      <c r="R297" s="13">
        <f t="shared" si="2"/>
        <v>5879</v>
      </c>
      <c r="S297" s="15" t="str">
        <f t="shared" si="3"/>
        <v>During Campaign</v>
      </c>
      <c r="T297" s="16">
        <f t="shared" si="4"/>
        <v>6476</v>
      </c>
      <c r="U297" s="15">
        <f t="shared" si="5"/>
        <v>36</v>
      </c>
    </row>
    <row r="298" ht="14.25" customHeight="1">
      <c r="A298" s="9" t="s">
        <v>359</v>
      </c>
      <c r="B298" s="9" t="s">
        <v>298</v>
      </c>
      <c r="C298" s="10">
        <v>45502.0</v>
      </c>
      <c r="D298" s="10" t="str">
        <f>IF(
  AND(C298 &gt;= 'Campaign Metadata'!J$2, C298 &lt;= 'Campaign Metadata'!H$2),
  'Campaign Metadata'!A$2,
IF(
  AND(C298 &gt;= 'Campaign Metadata'!J$3, C298 &lt;= 'Campaign Metadata'!H$3),
  'Campaign Metadata'!A$3,
IF(
  AND(C298 &gt;= 'Campaign Metadata'!J$4, C298 &lt;= 'Campaign Metadata'!H$4),
  'Campaign Metadata'!A$4,
IF(
  AND(C298 &gt;= 'Campaign Metadata'!J$5, C298 &lt;= 'Campaign Metadata'!H$5),
  'Campaign Metadata'!A$5,
"Outside Campaign"
))))
</f>
        <v>SummerSplash</v>
      </c>
      <c r="E298" s="9" t="s">
        <v>31</v>
      </c>
      <c r="F298" s="9" t="s">
        <v>319</v>
      </c>
      <c r="G298" s="11">
        <v>1509.0</v>
      </c>
      <c r="H298" s="11">
        <v>88.0</v>
      </c>
      <c r="I298" s="11">
        <v>163.0</v>
      </c>
      <c r="J298" s="11">
        <v>30180.0</v>
      </c>
      <c r="K298" s="11">
        <v>29689.0</v>
      </c>
      <c r="L298" s="11">
        <v>119.0</v>
      </c>
      <c r="M298" s="12" t="s">
        <v>33</v>
      </c>
      <c r="N298" s="12" t="s">
        <v>26</v>
      </c>
      <c r="O298" s="12" t="s">
        <v>26</v>
      </c>
      <c r="P298" s="13">
        <v>0.0583167660702452</v>
      </c>
      <c r="Q298" s="14">
        <f t="shared" si="1"/>
        <v>45502</v>
      </c>
      <c r="R298" s="13">
        <f t="shared" si="2"/>
        <v>1760</v>
      </c>
      <c r="S298" s="15" t="str">
        <f t="shared" si="3"/>
        <v>During Campaign</v>
      </c>
      <c r="T298" s="16">
        <f t="shared" si="4"/>
        <v>-68083</v>
      </c>
      <c r="U298" s="15">
        <f t="shared" si="5"/>
        <v>31</v>
      </c>
    </row>
    <row r="299" ht="14.25" customHeight="1">
      <c r="A299" s="9" t="s">
        <v>360</v>
      </c>
      <c r="B299" s="9" t="s">
        <v>298</v>
      </c>
      <c r="C299" s="10">
        <v>45553.0</v>
      </c>
      <c r="D299" s="10" t="str">
        <f>IF(
  AND(C299 &gt;= 'Campaign Metadata'!J$2, C299 &lt;= 'Campaign Metadata'!H$2),
  'Campaign Metadata'!A$2,
IF(
  AND(C299 &gt;= 'Campaign Metadata'!J$3, C299 &lt;= 'Campaign Metadata'!H$3),
  'Campaign Metadata'!A$3,
IF(
  AND(C299 &gt;= 'Campaign Metadata'!J$4, C299 &lt;= 'Campaign Metadata'!H$4),
  'Campaign Metadata'!A$4,
IF(
  AND(C299 &gt;= 'Campaign Metadata'!J$5, C299 &lt;= 'Campaign Metadata'!H$5),
  'Campaign Metadata'!A$5,
"Outside Campaign"
))))
</f>
        <v>SummerSplash</v>
      </c>
      <c r="E299" s="9" t="s">
        <v>47</v>
      </c>
      <c r="F299" s="9" t="s">
        <v>299</v>
      </c>
      <c r="G299" s="11">
        <v>2143.0</v>
      </c>
      <c r="H299" s="11">
        <v>12.0</v>
      </c>
      <c r="I299" s="11">
        <v>204.0</v>
      </c>
      <c r="J299" s="11">
        <v>40717.0</v>
      </c>
      <c r="K299" s="11">
        <v>40125.0</v>
      </c>
      <c r="L299" s="11">
        <v>248.0</v>
      </c>
      <c r="M299" s="12" t="s">
        <v>33</v>
      </c>
      <c r="N299" s="12" t="s">
        <v>26</v>
      </c>
      <c r="O299" s="12" t="s">
        <v>26</v>
      </c>
      <c r="P299" s="13">
        <v>0.05793648844463001</v>
      </c>
      <c r="Q299" s="14">
        <f t="shared" si="1"/>
        <v>45553</v>
      </c>
      <c r="R299" s="13">
        <f t="shared" si="2"/>
        <v>2359</v>
      </c>
      <c r="S299" s="15" t="str">
        <f t="shared" si="3"/>
        <v>During Campaign</v>
      </c>
      <c r="T299" s="16">
        <f t="shared" si="4"/>
        <v>10436</v>
      </c>
      <c r="U299" s="15">
        <f t="shared" si="5"/>
        <v>38</v>
      </c>
    </row>
    <row r="300" ht="14.25" customHeight="1">
      <c r="A300" s="9" t="s">
        <v>361</v>
      </c>
      <c r="B300" s="9" t="s">
        <v>298</v>
      </c>
      <c r="C300" s="10">
        <v>45569.0</v>
      </c>
      <c r="D300" s="10" t="str">
        <f>IF(
  AND(C300 &gt;= 'Campaign Metadata'!J$2, C300 &lt;= 'Campaign Metadata'!H$2),
  'Campaign Metadata'!A$2,
IF(
  AND(C300 &gt;= 'Campaign Metadata'!J$3, C300 &lt;= 'Campaign Metadata'!H$3),
  'Campaign Metadata'!A$3,
IF(
  AND(C300 &gt;= 'Campaign Metadata'!J$4, C300 &lt;= 'Campaign Metadata'!H$4),
  'Campaign Metadata'!A$4,
IF(
  AND(C300 &gt;= 'Campaign Metadata'!J$5, C300 &lt;= 'Campaign Metadata'!H$5),
  'Campaign Metadata'!A$5,
"Outside Campaign"
))))
</f>
        <v>FestiveRadiance</v>
      </c>
      <c r="E300" s="9" t="s">
        <v>35</v>
      </c>
      <c r="F300" s="9" t="s">
        <v>307</v>
      </c>
      <c r="G300" s="11">
        <v>1963.0</v>
      </c>
      <c r="H300" s="11">
        <v>213.0</v>
      </c>
      <c r="I300" s="11">
        <v>19.0</v>
      </c>
      <c r="J300" s="11">
        <v>39260.0</v>
      </c>
      <c r="K300" s="11">
        <v>38771.0</v>
      </c>
      <c r="L300" s="11">
        <v>145.0</v>
      </c>
      <c r="M300" s="12" t="s">
        <v>38</v>
      </c>
      <c r="N300" s="12" t="s">
        <v>26</v>
      </c>
      <c r="O300" s="12" t="s">
        <v>26</v>
      </c>
      <c r="P300" s="13">
        <v>0.05590932246561386</v>
      </c>
      <c r="Q300" s="14">
        <f t="shared" si="1"/>
        <v>45569</v>
      </c>
      <c r="R300" s="13">
        <f t="shared" si="2"/>
        <v>2195</v>
      </c>
      <c r="S300" s="15" t="str">
        <f t="shared" si="3"/>
        <v>During Campaign</v>
      </c>
      <c r="T300" s="16">
        <f t="shared" si="4"/>
        <v>-1354</v>
      </c>
      <c r="U300" s="15">
        <f t="shared" si="5"/>
        <v>40</v>
      </c>
    </row>
    <row r="301" ht="14.25" customHeight="1">
      <c r="A301" s="9" t="s">
        <v>362</v>
      </c>
      <c r="B301" s="9" t="s">
        <v>298</v>
      </c>
      <c r="C301" s="10">
        <v>45789.0</v>
      </c>
      <c r="D301" s="10" t="str">
        <f>IF(
  AND(C301 &gt;= 'Campaign Metadata'!J$2, C301 &lt;= 'Campaign Metadata'!H$2),
  'Campaign Metadata'!A$2,
IF(
  AND(C301 &gt;= 'Campaign Metadata'!J$3, C301 &lt;= 'Campaign Metadata'!H$3),
  'Campaign Metadata'!A$3,
IF(
  AND(C301 &gt;= 'Campaign Metadata'!J$4, C301 &lt;= 'Campaign Metadata'!H$4),
  'Campaign Metadata'!A$4,
IF(
  AND(C301 &gt;= 'Campaign Metadata'!J$5, C301 &lt;= 'Campaign Metadata'!H$5),
  'Campaign Metadata'!A$5,
"Outside Campaign"
))))
</f>
        <v>Outside Campaign</v>
      </c>
      <c r="E301" s="9" t="s">
        <v>50</v>
      </c>
      <c r="F301" s="9" t="s">
        <v>310</v>
      </c>
      <c r="G301" s="11">
        <v>2795.0</v>
      </c>
      <c r="H301" s="11">
        <v>105.0</v>
      </c>
      <c r="I301" s="11">
        <v>49.0</v>
      </c>
      <c r="J301" s="11">
        <v>53105.0</v>
      </c>
      <c r="K301" s="11">
        <v>52307.0</v>
      </c>
      <c r="L301" s="11">
        <v>204.0</v>
      </c>
      <c r="M301" s="12" t="s">
        <v>25</v>
      </c>
      <c r="N301" s="12" t="s">
        <v>26</v>
      </c>
      <c r="O301" s="12" t="s">
        <v>26</v>
      </c>
      <c r="P301" s="13">
        <v>0.05553149420958479</v>
      </c>
      <c r="Q301" s="14">
        <f t="shared" si="1"/>
        <v>45789</v>
      </c>
      <c r="R301" s="13">
        <f t="shared" si="2"/>
        <v>2949</v>
      </c>
      <c r="S301" s="15" t="str">
        <f t="shared" si="3"/>
        <v>Before Campaign</v>
      </c>
      <c r="T301" s="16">
        <f t="shared" si="4"/>
        <v>13536</v>
      </c>
      <c r="U301" s="15">
        <f t="shared" si="5"/>
        <v>20</v>
      </c>
    </row>
    <row r="302" ht="14.25" customHeight="1">
      <c r="C302" s="14"/>
      <c r="D302" s="14"/>
      <c r="G302" s="16"/>
      <c r="H302" s="16"/>
      <c r="I302" s="16"/>
      <c r="J302" s="16"/>
      <c r="K302" s="16"/>
      <c r="L302" s="16"/>
      <c r="P302" s="13"/>
      <c r="Q302" s="14"/>
      <c r="R302" s="13"/>
    </row>
    <row r="303" ht="14.25" customHeight="1">
      <c r="C303" s="18"/>
      <c r="D303" s="14"/>
      <c r="G303" s="16"/>
      <c r="H303" s="16"/>
      <c r="I303" s="16"/>
      <c r="J303" s="16"/>
      <c r="K303" s="16"/>
      <c r="L303" s="16"/>
      <c r="P303" s="13"/>
      <c r="Q303" s="14"/>
      <c r="R303" s="13"/>
    </row>
    <row r="304" ht="14.25" customHeight="1">
      <c r="C304" s="14"/>
      <c r="D304" s="14"/>
      <c r="G304" s="16"/>
      <c r="H304" s="16"/>
      <c r="I304" s="16"/>
      <c r="J304" s="16"/>
      <c r="K304" s="16"/>
      <c r="L304" s="16"/>
      <c r="P304" s="13"/>
      <c r="Q304" s="14"/>
      <c r="R304" s="13"/>
    </row>
    <row r="305" ht="14.25" customHeight="1">
      <c r="C305" s="14"/>
      <c r="D305" s="14"/>
      <c r="G305" s="16"/>
      <c r="H305" s="16"/>
      <c r="I305" s="16"/>
      <c r="J305" s="16"/>
      <c r="K305" s="16"/>
      <c r="L305" s="16"/>
      <c r="P305" s="13"/>
      <c r="Q305" s="14"/>
      <c r="R305" s="13"/>
    </row>
    <row r="306" ht="14.25" customHeight="1">
      <c r="C306" s="14"/>
      <c r="D306" s="14"/>
      <c r="G306" s="16"/>
      <c r="H306" s="16"/>
      <c r="I306" s="16"/>
      <c r="J306" s="16"/>
      <c r="K306" s="16"/>
      <c r="L306" s="16"/>
      <c r="P306" s="13"/>
      <c r="Q306" s="14"/>
      <c r="R306" s="13"/>
    </row>
    <row r="307" ht="14.25" customHeight="1">
      <c r="C307" s="14"/>
      <c r="D307" s="14"/>
      <c r="G307" s="16"/>
      <c r="H307" s="16"/>
      <c r="I307" s="16"/>
      <c r="J307" s="16"/>
      <c r="K307" s="16"/>
      <c r="L307" s="16"/>
      <c r="P307" s="13"/>
      <c r="Q307" s="14"/>
      <c r="R307" s="13"/>
    </row>
    <row r="308" ht="14.25" customHeight="1">
      <c r="C308" s="14"/>
      <c r="D308" s="14"/>
      <c r="G308" s="16"/>
      <c r="H308" s="16"/>
      <c r="I308" s="16"/>
      <c r="J308" s="16"/>
      <c r="K308" s="16"/>
      <c r="L308" s="16"/>
      <c r="P308" s="13"/>
      <c r="Q308" s="14"/>
      <c r="R308" s="13"/>
    </row>
    <row r="309" ht="14.25" customHeight="1">
      <c r="C309" s="14"/>
      <c r="D309" s="14"/>
      <c r="G309" s="16"/>
      <c r="H309" s="16"/>
      <c r="I309" s="16"/>
      <c r="J309" s="16"/>
      <c r="K309" s="16"/>
      <c r="L309" s="16"/>
      <c r="P309" s="13"/>
      <c r="Q309" s="14"/>
      <c r="R309" s="13"/>
    </row>
    <row r="310" ht="14.25" customHeight="1">
      <c r="C310" s="14"/>
      <c r="D310" s="14"/>
      <c r="G310" s="16"/>
      <c r="H310" s="16"/>
      <c r="I310" s="16"/>
      <c r="J310" s="16"/>
      <c r="K310" s="16"/>
      <c r="L310" s="16"/>
      <c r="P310" s="13"/>
      <c r="Q310" s="14"/>
      <c r="R310" s="13"/>
    </row>
    <row r="311" ht="14.25" customHeight="1">
      <c r="C311" s="14"/>
      <c r="D311" s="14"/>
      <c r="G311" s="16"/>
      <c r="H311" s="16"/>
      <c r="I311" s="16"/>
      <c r="J311" s="16"/>
      <c r="K311" s="16"/>
      <c r="L311" s="16"/>
      <c r="P311" s="13"/>
      <c r="Q311" s="14"/>
      <c r="R311" s="13"/>
    </row>
    <row r="312" ht="14.25" customHeight="1">
      <c r="C312" s="14"/>
      <c r="D312" s="14"/>
      <c r="G312" s="16"/>
      <c r="H312" s="16"/>
      <c r="I312" s="16"/>
      <c r="J312" s="16"/>
      <c r="K312" s="16"/>
      <c r="L312" s="16"/>
      <c r="P312" s="13"/>
      <c r="Q312" s="14"/>
      <c r="R312" s="13"/>
    </row>
    <row r="313" ht="14.25" customHeight="1">
      <c r="C313" s="14"/>
      <c r="D313" s="14"/>
      <c r="G313" s="16"/>
      <c r="H313" s="16"/>
      <c r="I313" s="16"/>
      <c r="J313" s="16"/>
      <c r="K313" s="16"/>
      <c r="L313" s="16"/>
      <c r="P313" s="13"/>
      <c r="Q313" s="14"/>
      <c r="R313" s="13"/>
    </row>
    <row r="314" ht="14.25" customHeight="1">
      <c r="C314" s="14"/>
      <c r="D314" s="14"/>
      <c r="G314" s="16"/>
      <c r="H314" s="16"/>
      <c r="I314" s="16"/>
      <c r="J314" s="16"/>
      <c r="K314" s="16"/>
      <c r="L314" s="16"/>
      <c r="P314" s="13"/>
      <c r="Q314" s="14"/>
      <c r="R314" s="13"/>
    </row>
    <row r="315" ht="14.25" customHeight="1">
      <c r="C315" s="14"/>
      <c r="D315" s="14"/>
      <c r="G315" s="16"/>
      <c r="H315" s="16"/>
      <c r="I315" s="16"/>
      <c r="J315" s="16"/>
      <c r="K315" s="16"/>
      <c r="L315" s="16"/>
      <c r="P315" s="13"/>
      <c r="Q315" s="14"/>
      <c r="R315" s="13"/>
    </row>
    <row r="316" ht="14.25" customHeight="1">
      <c r="C316" s="14"/>
      <c r="D316" s="14"/>
      <c r="G316" s="16"/>
      <c r="H316" s="16"/>
      <c r="I316" s="16"/>
      <c r="J316" s="16"/>
      <c r="K316" s="16"/>
      <c r="L316" s="16"/>
      <c r="P316" s="13"/>
      <c r="Q316" s="14"/>
      <c r="R316" s="13"/>
    </row>
    <row r="317" ht="14.25" customHeight="1">
      <c r="C317" s="14"/>
      <c r="D317" s="14"/>
      <c r="G317" s="16"/>
      <c r="H317" s="16"/>
      <c r="I317" s="16"/>
      <c r="J317" s="16"/>
      <c r="K317" s="16"/>
      <c r="L317" s="16"/>
      <c r="P317" s="13"/>
      <c r="Q317" s="14"/>
      <c r="R317" s="13"/>
    </row>
    <row r="318" ht="14.25" customHeight="1">
      <c r="C318" s="14"/>
      <c r="D318" s="14"/>
      <c r="G318" s="16"/>
      <c r="H318" s="16"/>
      <c r="I318" s="16"/>
      <c r="J318" s="16"/>
      <c r="K318" s="16"/>
      <c r="L318" s="16"/>
      <c r="P318" s="13"/>
      <c r="Q318" s="14"/>
      <c r="R318" s="13"/>
    </row>
    <row r="319" ht="14.25" customHeight="1">
      <c r="C319" s="14"/>
      <c r="D319" s="14"/>
      <c r="G319" s="16"/>
      <c r="H319" s="16"/>
      <c r="I319" s="16"/>
      <c r="J319" s="16"/>
      <c r="K319" s="16"/>
      <c r="L319" s="16"/>
      <c r="P319" s="13"/>
      <c r="Q319" s="14"/>
      <c r="R319" s="13"/>
    </row>
    <row r="320" ht="14.25" customHeight="1">
      <c r="C320" s="14"/>
      <c r="D320" s="14"/>
      <c r="G320" s="16"/>
      <c r="H320" s="16"/>
      <c r="I320" s="16"/>
      <c r="J320" s="16"/>
      <c r="K320" s="16"/>
      <c r="L320" s="16"/>
      <c r="P320" s="13"/>
      <c r="Q320" s="14"/>
      <c r="R320" s="13"/>
    </row>
    <row r="321" ht="14.25" customHeight="1">
      <c r="C321" s="14"/>
      <c r="D321" s="14"/>
      <c r="G321" s="16"/>
      <c r="H321" s="16"/>
      <c r="I321" s="16"/>
      <c r="J321" s="16"/>
      <c r="K321" s="16"/>
      <c r="L321" s="16"/>
      <c r="P321" s="13"/>
      <c r="Q321" s="14"/>
      <c r="R321" s="13"/>
    </row>
    <row r="322" ht="14.25" customHeight="1">
      <c r="C322" s="14"/>
      <c r="D322" s="14"/>
      <c r="G322" s="16"/>
      <c r="H322" s="16"/>
      <c r="I322" s="16"/>
      <c r="J322" s="16"/>
      <c r="K322" s="16"/>
      <c r="L322" s="16"/>
      <c r="P322" s="13"/>
      <c r="Q322" s="14"/>
      <c r="R322" s="13"/>
    </row>
    <row r="323" ht="14.25" customHeight="1">
      <c r="C323" s="14"/>
      <c r="D323" s="14"/>
      <c r="G323" s="16"/>
      <c r="H323" s="16"/>
      <c r="I323" s="16"/>
      <c r="J323" s="16"/>
      <c r="K323" s="16"/>
      <c r="L323" s="16"/>
      <c r="P323" s="13"/>
      <c r="Q323" s="14"/>
      <c r="R323" s="13"/>
    </row>
    <row r="324" ht="14.25" customHeight="1">
      <c r="C324" s="14"/>
      <c r="D324" s="14"/>
      <c r="G324" s="16"/>
      <c r="H324" s="16"/>
      <c r="I324" s="16"/>
      <c r="J324" s="16"/>
      <c r="K324" s="16"/>
      <c r="L324" s="16"/>
      <c r="P324" s="13"/>
      <c r="Q324" s="14"/>
      <c r="R324" s="13"/>
    </row>
    <row r="325" ht="14.25" customHeight="1">
      <c r="C325" s="14"/>
      <c r="D325" s="14"/>
      <c r="G325" s="16"/>
      <c r="H325" s="16"/>
      <c r="I325" s="16"/>
      <c r="J325" s="16"/>
      <c r="K325" s="16"/>
      <c r="L325" s="16"/>
      <c r="P325" s="13"/>
      <c r="Q325" s="14"/>
      <c r="R325" s="13"/>
    </row>
    <row r="326" ht="14.25" customHeight="1">
      <c r="C326" s="14"/>
      <c r="D326" s="14"/>
      <c r="G326" s="16"/>
      <c r="H326" s="16"/>
      <c r="I326" s="16"/>
      <c r="J326" s="16"/>
      <c r="K326" s="16"/>
      <c r="L326" s="16"/>
      <c r="P326" s="13"/>
      <c r="Q326" s="14"/>
      <c r="R326" s="13"/>
    </row>
    <row r="327" ht="14.25" customHeight="1">
      <c r="C327" s="14"/>
      <c r="D327" s="14"/>
      <c r="G327" s="16"/>
      <c r="H327" s="16"/>
      <c r="I327" s="16"/>
      <c r="J327" s="16"/>
      <c r="K327" s="16"/>
      <c r="L327" s="16"/>
      <c r="P327" s="13"/>
      <c r="Q327" s="14"/>
      <c r="R327" s="13"/>
    </row>
    <row r="328" ht="14.25" customHeight="1">
      <c r="C328" s="14"/>
      <c r="D328" s="14"/>
      <c r="G328" s="16"/>
      <c r="H328" s="16"/>
      <c r="I328" s="16"/>
      <c r="J328" s="16"/>
      <c r="K328" s="16"/>
      <c r="L328" s="16"/>
      <c r="P328" s="13"/>
      <c r="Q328" s="14"/>
      <c r="R328" s="13"/>
    </row>
    <row r="329" ht="14.25" customHeight="1">
      <c r="C329" s="14"/>
      <c r="D329" s="14"/>
      <c r="G329" s="16"/>
      <c r="H329" s="16"/>
      <c r="I329" s="16"/>
      <c r="J329" s="16"/>
      <c r="K329" s="16"/>
      <c r="L329" s="16"/>
      <c r="P329" s="13"/>
      <c r="Q329" s="14"/>
      <c r="R329" s="13"/>
    </row>
    <row r="330" ht="14.25" customHeight="1">
      <c r="C330" s="14"/>
      <c r="D330" s="14"/>
      <c r="G330" s="16"/>
      <c r="H330" s="16"/>
      <c r="I330" s="16"/>
      <c r="J330" s="16"/>
      <c r="K330" s="16"/>
      <c r="L330" s="16"/>
      <c r="P330" s="13"/>
      <c r="Q330" s="14"/>
      <c r="R330" s="13"/>
    </row>
    <row r="331" ht="14.25" customHeight="1">
      <c r="C331" s="14"/>
      <c r="D331" s="14"/>
      <c r="G331" s="16"/>
      <c r="H331" s="16"/>
      <c r="I331" s="16"/>
      <c r="J331" s="16"/>
      <c r="K331" s="16"/>
      <c r="L331" s="16"/>
      <c r="P331" s="13"/>
      <c r="Q331" s="14"/>
      <c r="R331" s="13"/>
    </row>
    <row r="332" ht="14.25" customHeight="1">
      <c r="C332" s="14"/>
      <c r="D332" s="14"/>
      <c r="G332" s="16"/>
      <c r="H332" s="16"/>
      <c r="I332" s="16"/>
      <c r="J332" s="16"/>
      <c r="K332" s="16"/>
      <c r="L332" s="16"/>
      <c r="P332" s="13"/>
      <c r="Q332" s="14"/>
      <c r="R332" s="13"/>
    </row>
    <row r="333" ht="14.25" customHeight="1">
      <c r="C333" s="14"/>
      <c r="D333" s="14"/>
      <c r="G333" s="16"/>
      <c r="H333" s="16"/>
      <c r="I333" s="16"/>
      <c r="J333" s="16"/>
      <c r="K333" s="16"/>
      <c r="L333" s="16"/>
      <c r="P333" s="13"/>
      <c r="Q333" s="14"/>
      <c r="R333" s="13"/>
    </row>
    <row r="334" ht="14.25" customHeight="1">
      <c r="C334" s="14"/>
      <c r="D334" s="14"/>
      <c r="G334" s="16"/>
      <c r="H334" s="16"/>
      <c r="I334" s="16"/>
      <c r="J334" s="16"/>
      <c r="K334" s="16"/>
      <c r="L334" s="16"/>
      <c r="P334" s="13"/>
      <c r="Q334" s="14"/>
      <c r="R334" s="13"/>
    </row>
    <row r="335" ht="14.25" customHeight="1">
      <c r="C335" s="14"/>
      <c r="D335" s="14"/>
      <c r="G335" s="16"/>
      <c r="H335" s="16"/>
      <c r="I335" s="16"/>
      <c r="J335" s="16"/>
      <c r="K335" s="16"/>
      <c r="L335" s="16"/>
      <c r="P335" s="13"/>
      <c r="Q335" s="14"/>
      <c r="R335" s="13"/>
    </row>
    <row r="336" ht="14.25" customHeight="1">
      <c r="C336" s="14"/>
      <c r="D336" s="14"/>
      <c r="G336" s="16"/>
      <c r="H336" s="16"/>
      <c r="I336" s="16"/>
      <c r="J336" s="16"/>
      <c r="K336" s="16"/>
      <c r="L336" s="16"/>
      <c r="P336" s="13"/>
      <c r="Q336" s="14"/>
      <c r="R336" s="13"/>
    </row>
    <row r="337" ht="14.25" customHeight="1">
      <c r="C337" s="14"/>
      <c r="D337" s="14"/>
      <c r="G337" s="16"/>
      <c r="H337" s="16"/>
      <c r="I337" s="16"/>
      <c r="J337" s="16"/>
      <c r="K337" s="16"/>
      <c r="L337" s="16"/>
      <c r="P337" s="13"/>
      <c r="Q337" s="14"/>
      <c r="R337" s="13"/>
    </row>
    <row r="338" ht="14.25" customHeight="1">
      <c r="C338" s="14"/>
      <c r="D338" s="14"/>
      <c r="G338" s="16"/>
      <c r="H338" s="16"/>
      <c r="I338" s="16"/>
      <c r="J338" s="16"/>
      <c r="K338" s="16"/>
      <c r="L338" s="16"/>
      <c r="P338" s="13"/>
      <c r="Q338" s="14"/>
      <c r="R338" s="13"/>
    </row>
    <row r="339" ht="14.25" customHeight="1">
      <c r="C339" s="14"/>
      <c r="D339" s="14"/>
      <c r="G339" s="16"/>
      <c r="H339" s="16"/>
      <c r="I339" s="16"/>
      <c r="J339" s="16"/>
      <c r="K339" s="16"/>
      <c r="L339" s="16"/>
      <c r="P339" s="13"/>
      <c r="Q339" s="14"/>
      <c r="R339" s="13"/>
    </row>
    <row r="340" ht="14.25" customHeight="1">
      <c r="C340" s="14"/>
      <c r="D340" s="14"/>
      <c r="G340" s="16"/>
      <c r="H340" s="16"/>
      <c r="I340" s="16"/>
      <c r="J340" s="16"/>
      <c r="K340" s="16"/>
      <c r="L340" s="16"/>
      <c r="P340" s="13"/>
      <c r="Q340" s="14"/>
      <c r="R340" s="13"/>
    </row>
    <row r="341" ht="14.25" customHeight="1">
      <c r="C341" s="14"/>
      <c r="D341" s="14"/>
      <c r="G341" s="16"/>
      <c r="H341" s="16"/>
      <c r="I341" s="16"/>
      <c r="J341" s="16"/>
      <c r="K341" s="16"/>
      <c r="L341" s="16"/>
      <c r="P341" s="13"/>
      <c r="Q341" s="14"/>
      <c r="R341" s="13"/>
    </row>
    <row r="342" ht="14.25" customHeight="1">
      <c r="C342" s="14"/>
      <c r="D342" s="14"/>
      <c r="G342" s="16"/>
      <c r="H342" s="16"/>
      <c r="I342" s="16"/>
      <c r="J342" s="16"/>
      <c r="K342" s="16"/>
      <c r="L342" s="16"/>
      <c r="P342" s="13"/>
      <c r="Q342" s="14"/>
      <c r="R342" s="13"/>
    </row>
    <row r="343" ht="14.25" customHeight="1">
      <c r="C343" s="14"/>
      <c r="D343" s="14"/>
      <c r="G343" s="16"/>
      <c r="H343" s="16"/>
      <c r="I343" s="16"/>
      <c r="J343" s="16"/>
      <c r="K343" s="16"/>
      <c r="L343" s="16"/>
      <c r="P343" s="13"/>
      <c r="Q343" s="14"/>
      <c r="R343" s="13"/>
    </row>
    <row r="344" ht="14.25" customHeight="1">
      <c r="C344" s="14"/>
      <c r="D344" s="14"/>
      <c r="G344" s="16"/>
      <c r="H344" s="16"/>
      <c r="I344" s="16"/>
      <c r="J344" s="16"/>
      <c r="K344" s="16"/>
      <c r="L344" s="16"/>
      <c r="P344" s="13"/>
      <c r="Q344" s="14"/>
      <c r="R344" s="13"/>
    </row>
    <row r="345" ht="14.25" customHeight="1">
      <c r="C345" s="14"/>
      <c r="D345" s="14"/>
      <c r="G345" s="16"/>
      <c r="H345" s="16"/>
      <c r="I345" s="16"/>
      <c r="J345" s="16"/>
      <c r="K345" s="16"/>
      <c r="L345" s="16"/>
      <c r="P345" s="13"/>
      <c r="Q345" s="14"/>
      <c r="R345" s="13"/>
    </row>
    <row r="346" ht="14.25" customHeight="1">
      <c r="C346" s="14"/>
      <c r="D346" s="14"/>
      <c r="G346" s="16"/>
      <c r="H346" s="16"/>
      <c r="I346" s="16"/>
      <c r="J346" s="16"/>
      <c r="K346" s="16"/>
      <c r="L346" s="16"/>
      <c r="P346" s="13"/>
      <c r="Q346" s="14"/>
      <c r="R346" s="13"/>
    </row>
    <row r="347" ht="14.25" customHeight="1">
      <c r="C347" s="14"/>
      <c r="D347" s="14"/>
      <c r="G347" s="16"/>
      <c r="H347" s="16"/>
      <c r="I347" s="16"/>
      <c r="J347" s="16"/>
      <c r="K347" s="16"/>
      <c r="L347" s="16"/>
      <c r="P347" s="13"/>
      <c r="Q347" s="14"/>
      <c r="R347" s="13"/>
    </row>
    <row r="348" ht="14.25" customHeight="1">
      <c r="C348" s="14"/>
      <c r="D348" s="14"/>
      <c r="G348" s="16"/>
      <c r="H348" s="16"/>
      <c r="I348" s="16"/>
      <c r="J348" s="16"/>
      <c r="K348" s="16"/>
      <c r="L348" s="16"/>
      <c r="P348" s="13"/>
      <c r="Q348" s="14"/>
      <c r="R348" s="13"/>
    </row>
    <row r="349" ht="14.25" customHeight="1">
      <c r="C349" s="14"/>
      <c r="D349" s="14"/>
      <c r="G349" s="16"/>
      <c r="H349" s="16"/>
      <c r="I349" s="16"/>
      <c r="J349" s="16"/>
      <c r="K349" s="16"/>
      <c r="L349" s="16"/>
      <c r="P349" s="13"/>
      <c r="Q349" s="14"/>
      <c r="R349" s="13"/>
    </row>
    <row r="350" ht="14.25" customHeight="1">
      <c r="C350" s="14"/>
      <c r="D350" s="14"/>
      <c r="G350" s="16"/>
      <c r="H350" s="16"/>
      <c r="I350" s="16"/>
      <c r="J350" s="16"/>
      <c r="K350" s="16"/>
      <c r="L350" s="16"/>
      <c r="P350" s="13"/>
      <c r="Q350" s="14"/>
      <c r="R350" s="13"/>
    </row>
    <row r="351" ht="14.25" customHeight="1">
      <c r="C351" s="14"/>
      <c r="D351" s="14"/>
      <c r="G351" s="16"/>
      <c r="H351" s="16"/>
      <c r="I351" s="16"/>
      <c r="J351" s="16"/>
      <c r="K351" s="16"/>
      <c r="L351" s="16"/>
      <c r="P351" s="13"/>
      <c r="Q351" s="14"/>
      <c r="R351" s="13"/>
    </row>
    <row r="352" ht="14.25" customHeight="1">
      <c r="C352" s="14"/>
      <c r="D352" s="14"/>
      <c r="G352" s="16"/>
      <c r="H352" s="16"/>
      <c r="I352" s="16"/>
      <c r="J352" s="16"/>
      <c r="K352" s="16"/>
      <c r="L352" s="16"/>
      <c r="P352" s="13"/>
      <c r="Q352" s="14"/>
      <c r="R352" s="13"/>
    </row>
    <row r="353" ht="14.25" customHeight="1">
      <c r="C353" s="14"/>
      <c r="D353" s="14"/>
      <c r="G353" s="16"/>
      <c r="H353" s="16"/>
      <c r="I353" s="16"/>
      <c r="J353" s="16"/>
      <c r="K353" s="16"/>
      <c r="L353" s="16"/>
      <c r="P353" s="13"/>
      <c r="Q353" s="14"/>
      <c r="R353" s="13"/>
    </row>
    <row r="354" ht="14.25" customHeight="1">
      <c r="C354" s="14"/>
      <c r="D354" s="14"/>
      <c r="G354" s="16"/>
      <c r="H354" s="16"/>
      <c r="I354" s="16"/>
      <c r="J354" s="16"/>
      <c r="K354" s="16"/>
      <c r="L354" s="16"/>
      <c r="P354" s="13"/>
      <c r="Q354" s="14"/>
      <c r="R354" s="13"/>
    </row>
    <row r="355" ht="14.25" customHeight="1">
      <c r="C355" s="14"/>
      <c r="D355" s="14"/>
      <c r="G355" s="16"/>
      <c r="H355" s="16"/>
      <c r="I355" s="16"/>
      <c r="J355" s="16"/>
      <c r="K355" s="16"/>
      <c r="L355" s="16"/>
      <c r="P355" s="13"/>
      <c r="Q355" s="14"/>
      <c r="R355" s="13"/>
    </row>
    <row r="356" ht="14.25" customHeight="1">
      <c r="C356" s="14"/>
      <c r="D356" s="14"/>
      <c r="G356" s="16"/>
      <c r="H356" s="16"/>
      <c r="I356" s="16"/>
      <c r="J356" s="16"/>
      <c r="K356" s="16"/>
      <c r="L356" s="16"/>
      <c r="P356" s="13"/>
      <c r="Q356" s="14"/>
      <c r="R356" s="13"/>
    </row>
    <row r="357" ht="14.25" customHeight="1">
      <c r="C357" s="14"/>
      <c r="D357" s="14"/>
      <c r="G357" s="16"/>
      <c r="H357" s="16"/>
      <c r="I357" s="16"/>
      <c r="J357" s="16"/>
      <c r="K357" s="16"/>
      <c r="L357" s="16"/>
      <c r="P357" s="13"/>
      <c r="Q357" s="14"/>
      <c r="R357" s="13"/>
    </row>
    <row r="358" ht="14.25" customHeight="1">
      <c r="C358" s="14"/>
      <c r="D358" s="14"/>
      <c r="G358" s="16"/>
      <c r="H358" s="16"/>
      <c r="I358" s="16"/>
      <c r="J358" s="16"/>
      <c r="K358" s="16"/>
      <c r="L358" s="16"/>
      <c r="P358" s="13"/>
      <c r="Q358" s="14"/>
      <c r="R358" s="13"/>
    </row>
    <row r="359" ht="14.25" customHeight="1">
      <c r="C359" s="14"/>
      <c r="D359" s="14"/>
      <c r="G359" s="16"/>
      <c r="H359" s="16"/>
      <c r="I359" s="16"/>
      <c r="J359" s="16"/>
      <c r="K359" s="16"/>
      <c r="L359" s="16"/>
      <c r="P359" s="13"/>
      <c r="Q359" s="14"/>
      <c r="R359" s="13"/>
    </row>
    <row r="360" ht="14.25" customHeight="1">
      <c r="C360" s="14"/>
      <c r="D360" s="14"/>
      <c r="G360" s="16"/>
      <c r="H360" s="16"/>
      <c r="I360" s="16"/>
      <c r="J360" s="16"/>
      <c r="K360" s="16"/>
      <c r="L360" s="16"/>
      <c r="P360" s="13"/>
      <c r="Q360" s="14"/>
      <c r="R360" s="13"/>
    </row>
    <row r="361" ht="14.25" customHeight="1">
      <c r="C361" s="14"/>
      <c r="D361" s="14"/>
      <c r="G361" s="16"/>
      <c r="H361" s="16"/>
      <c r="I361" s="16"/>
      <c r="J361" s="16"/>
      <c r="K361" s="16"/>
      <c r="L361" s="16"/>
      <c r="P361" s="13"/>
      <c r="Q361" s="14"/>
      <c r="R361" s="13"/>
    </row>
    <row r="362" ht="14.25" customHeight="1">
      <c r="C362" s="14"/>
      <c r="D362" s="14"/>
      <c r="G362" s="16"/>
      <c r="H362" s="16"/>
      <c r="I362" s="16"/>
      <c r="J362" s="16"/>
      <c r="K362" s="16"/>
      <c r="L362" s="16"/>
      <c r="P362" s="13"/>
      <c r="Q362" s="14"/>
      <c r="R362" s="13"/>
    </row>
    <row r="363" ht="14.25" customHeight="1">
      <c r="C363" s="14"/>
      <c r="D363" s="14"/>
      <c r="G363" s="16"/>
      <c r="H363" s="16"/>
      <c r="I363" s="16"/>
      <c r="J363" s="16"/>
      <c r="K363" s="16"/>
      <c r="L363" s="16"/>
      <c r="P363" s="13"/>
      <c r="Q363" s="14"/>
      <c r="R363" s="13"/>
    </row>
    <row r="364" ht="14.25" customHeight="1">
      <c r="C364" s="14"/>
      <c r="D364" s="14"/>
      <c r="G364" s="16"/>
      <c r="H364" s="16"/>
      <c r="I364" s="16"/>
      <c r="J364" s="16"/>
      <c r="K364" s="16"/>
      <c r="L364" s="16"/>
      <c r="P364" s="13"/>
      <c r="Q364" s="14"/>
      <c r="R364" s="13"/>
    </row>
    <row r="365" ht="14.25" customHeight="1">
      <c r="C365" s="14"/>
      <c r="D365" s="14"/>
      <c r="G365" s="16"/>
      <c r="H365" s="16"/>
      <c r="I365" s="16"/>
      <c r="J365" s="16"/>
      <c r="K365" s="16"/>
      <c r="L365" s="16"/>
      <c r="P365" s="13"/>
      <c r="Q365" s="14"/>
      <c r="R365" s="13"/>
    </row>
    <row r="366" ht="14.25" customHeight="1">
      <c r="C366" s="14"/>
      <c r="D366" s="14"/>
      <c r="G366" s="16"/>
      <c r="H366" s="16"/>
      <c r="I366" s="16"/>
      <c r="J366" s="16"/>
      <c r="K366" s="16"/>
      <c r="L366" s="16"/>
      <c r="P366" s="13"/>
      <c r="Q366" s="14"/>
      <c r="R366" s="13"/>
    </row>
    <row r="367" ht="14.25" customHeight="1">
      <c r="C367" s="14"/>
      <c r="D367" s="14"/>
      <c r="G367" s="16"/>
      <c r="H367" s="16"/>
      <c r="I367" s="16"/>
      <c r="J367" s="16"/>
      <c r="K367" s="16"/>
      <c r="L367" s="16"/>
      <c r="P367" s="13"/>
      <c r="Q367" s="14"/>
      <c r="R367" s="13"/>
    </row>
    <row r="368" ht="14.25" customHeight="1">
      <c r="C368" s="14"/>
      <c r="D368" s="14"/>
      <c r="G368" s="16"/>
      <c r="H368" s="16"/>
      <c r="I368" s="16"/>
      <c r="J368" s="16"/>
      <c r="K368" s="16"/>
      <c r="L368" s="16"/>
      <c r="P368" s="13"/>
      <c r="Q368" s="14"/>
      <c r="R368" s="13"/>
    </row>
    <row r="369" ht="14.25" customHeight="1">
      <c r="C369" s="14"/>
      <c r="D369" s="14"/>
      <c r="G369" s="16"/>
      <c r="H369" s="16"/>
      <c r="I369" s="16"/>
      <c r="J369" s="16"/>
      <c r="K369" s="16"/>
      <c r="L369" s="16"/>
      <c r="P369" s="13"/>
      <c r="Q369" s="14"/>
      <c r="R369" s="13"/>
    </row>
    <row r="370" ht="14.25" customHeight="1">
      <c r="C370" s="14"/>
      <c r="D370" s="14"/>
      <c r="G370" s="16"/>
      <c r="H370" s="16"/>
      <c r="I370" s="16"/>
      <c r="J370" s="16"/>
      <c r="K370" s="16"/>
      <c r="L370" s="16"/>
      <c r="P370" s="13"/>
      <c r="Q370" s="14"/>
      <c r="R370" s="13"/>
    </row>
    <row r="371" ht="14.25" customHeight="1">
      <c r="C371" s="14"/>
      <c r="D371" s="14"/>
      <c r="G371" s="16"/>
      <c r="H371" s="16"/>
      <c r="I371" s="16"/>
      <c r="J371" s="16"/>
      <c r="K371" s="16"/>
      <c r="L371" s="16"/>
      <c r="P371" s="13"/>
      <c r="Q371" s="14"/>
      <c r="R371" s="13"/>
    </row>
    <row r="372" ht="14.25" customHeight="1">
      <c r="C372" s="14"/>
      <c r="D372" s="14"/>
      <c r="G372" s="16"/>
      <c r="H372" s="16"/>
      <c r="I372" s="16"/>
      <c r="J372" s="16"/>
      <c r="K372" s="16"/>
      <c r="L372" s="16"/>
      <c r="P372" s="13"/>
      <c r="Q372" s="14"/>
      <c r="R372" s="13"/>
    </row>
    <row r="373" ht="14.25" customHeight="1">
      <c r="C373" s="14"/>
      <c r="D373" s="14"/>
      <c r="G373" s="16"/>
      <c r="H373" s="16"/>
      <c r="I373" s="16"/>
      <c r="J373" s="16"/>
      <c r="K373" s="16"/>
      <c r="L373" s="16"/>
      <c r="P373" s="13"/>
      <c r="Q373" s="14"/>
      <c r="R373" s="13"/>
    </row>
    <row r="374" ht="14.25" customHeight="1">
      <c r="C374" s="14"/>
      <c r="D374" s="14"/>
      <c r="G374" s="16"/>
      <c r="H374" s="16"/>
      <c r="I374" s="16"/>
      <c r="J374" s="16"/>
      <c r="K374" s="16"/>
      <c r="L374" s="16"/>
      <c r="P374" s="13"/>
      <c r="Q374" s="14"/>
      <c r="R374" s="13"/>
    </row>
    <row r="375" ht="14.25" customHeight="1">
      <c r="C375" s="14"/>
      <c r="D375" s="14"/>
      <c r="G375" s="16"/>
      <c r="H375" s="16"/>
      <c r="I375" s="16"/>
      <c r="J375" s="16"/>
      <c r="K375" s="16"/>
      <c r="L375" s="16"/>
      <c r="P375" s="13"/>
      <c r="Q375" s="14"/>
      <c r="R375" s="13"/>
    </row>
    <row r="376" ht="14.25" customHeight="1">
      <c r="C376" s="14"/>
      <c r="D376" s="14"/>
      <c r="G376" s="16"/>
      <c r="H376" s="16"/>
      <c r="I376" s="16"/>
      <c r="J376" s="16"/>
      <c r="K376" s="16"/>
      <c r="L376" s="16"/>
      <c r="P376" s="13"/>
      <c r="Q376" s="14"/>
      <c r="R376" s="13"/>
    </row>
    <row r="377" ht="14.25" customHeight="1">
      <c r="C377" s="14"/>
      <c r="D377" s="14"/>
      <c r="G377" s="16"/>
      <c r="H377" s="16"/>
      <c r="I377" s="16"/>
      <c r="J377" s="16"/>
      <c r="K377" s="16"/>
      <c r="L377" s="16"/>
      <c r="P377" s="13"/>
      <c r="Q377" s="14"/>
      <c r="R377" s="13"/>
    </row>
    <row r="378" ht="14.25" customHeight="1">
      <c r="C378" s="14"/>
      <c r="D378" s="14"/>
      <c r="G378" s="16"/>
      <c r="H378" s="16"/>
      <c r="I378" s="16"/>
      <c r="J378" s="16"/>
      <c r="K378" s="16"/>
      <c r="L378" s="16"/>
      <c r="P378" s="13"/>
      <c r="Q378" s="14"/>
      <c r="R378" s="13"/>
    </row>
    <row r="379" ht="14.25" customHeight="1">
      <c r="C379" s="14"/>
      <c r="D379" s="14"/>
      <c r="G379" s="16"/>
      <c r="H379" s="16"/>
      <c r="I379" s="16"/>
      <c r="J379" s="16"/>
      <c r="K379" s="16"/>
      <c r="L379" s="16"/>
      <c r="P379" s="13"/>
      <c r="Q379" s="14"/>
      <c r="R379" s="13"/>
    </row>
    <row r="380" ht="14.25" customHeight="1">
      <c r="C380" s="14"/>
      <c r="D380" s="14"/>
      <c r="G380" s="16"/>
      <c r="H380" s="16"/>
      <c r="I380" s="16"/>
      <c r="J380" s="16"/>
      <c r="K380" s="16"/>
      <c r="L380" s="16"/>
      <c r="P380" s="13"/>
      <c r="Q380" s="14"/>
      <c r="R380" s="13"/>
    </row>
    <row r="381" ht="14.25" customHeight="1">
      <c r="C381" s="14"/>
      <c r="D381" s="14"/>
      <c r="G381" s="16"/>
      <c r="H381" s="16"/>
      <c r="I381" s="16"/>
      <c r="J381" s="16"/>
      <c r="K381" s="16"/>
      <c r="L381" s="16"/>
      <c r="P381" s="13"/>
      <c r="Q381" s="14"/>
      <c r="R381" s="13"/>
    </row>
    <row r="382" ht="14.25" customHeight="1">
      <c r="C382" s="14"/>
      <c r="D382" s="14"/>
      <c r="G382" s="16"/>
      <c r="H382" s="16"/>
      <c r="I382" s="16"/>
      <c r="J382" s="16"/>
      <c r="K382" s="16"/>
      <c r="L382" s="16"/>
      <c r="P382" s="13"/>
      <c r="Q382" s="14"/>
      <c r="R382" s="13"/>
    </row>
    <row r="383" ht="14.25" customHeight="1">
      <c r="C383" s="14"/>
      <c r="D383" s="14"/>
      <c r="G383" s="16"/>
      <c r="H383" s="16"/>
      <c r="I383" s="16"/>
      <c r="J383" s="16"/>
      <c r="K383" s="16"/>
      <c r="L383" s="16"/>
      <c r="P383" s="13"/>
      <c r="Q383" s="14"/>
      <c r="R383" s="13"/>
    </row>
    <row r="384" ht="14.25" customHeight="1">
      <c r="C384" s="14"/>
      <c r="D384" s="14"/>
      <c r="G384" s="16"/>
      <c r="H384" s="16"/>
      <c r="I384" s="16"/>
      <c r="J384" s="16"/>
      <c r="K384" s="16"/>
      <c r="L384" s="16"/>
      <c r="P384" s="13"/>
      <c r="Q384" s="14"/>
      <c r="R384" s="13"/>
    </row>
    <row r="385" ht="14.25" customHeight="1">
      <c r="C385" s="14"/>
      <c r="D385" s="14"/>
      <c r="G385" s="16"/>
      <c r="H385" s="16"/>
      <c r="I385" s="16"/>
      <c r="J385" s="16"/>
      <c r="K385" s="16"/>
      <c r="L385" s="16"/>
      <c r="P385" s="13"/>
      <c r="Q385" s="14"/>
      <c r="R385" s="13"/>
    </row>
    <row r="386" ht="14.25" customHeight="1">
      <c r="C386" s="14"/>
      <c r="D386" s="14"/>
      <c r="G386" s="16"/>
      <c r="H386" s="16"/>
      <c r="I386" s="16"/>
      <c r="J386" s="16"/>
      <c r="K386" s="16"/>
      <c r="L386" s="16"/>
      <c r="P386" s="13"/>
      <c r="Q386" s="14"/>
      <c r="R386" s="13"/>
    </row>
    <row r="387" ht="14.25" customHeight="1">
      <c r="C387" s="14"/>
      <c r="D387" s="14"/>
      <c r="G387" s="16"/>
      <c r="H387" s="16"/>
      <c r="I387" s="16"/>
      <c r="J387" s="16"/>
      <c r="K387" s="16"/>
      <c r="L387" s="16"/>
      <c r="P387" s="13"/>
      <c r="Q387" s="14"/>
      <c r="R387" s="13"/>
    </row>
    <row r="388" ht="14.25" customHeight="1">
      <c r="C388" s="14"/>
      <c r="D388" s="14"/>
      <c r="G388" s="16"/>
      <c r="H388" s="16"/>
      <c r="I388" s="16"/>
      <c r="J388" s="16"/>
      <c r="K388" s="16"/>
      <c r="L388" s="16"/>
      <c r="P388" s="13"/>
      <c r="Q388" s="14"/>
      <c r="R388" s="13"/>
    </row>
    <row r="389" ht="14.25" customHeight="1">
      <c r="C389" s="14"/>
      <c r="D389" s="14"/>
      <c r="G389" s="16"/>
      <c r="H389" s="16"/>
      <c r="I389" s="16"/>
      <c r="J389" s="16"/>
      <c r="K389" s="16"/>
      <c r="L389" s="16"/>
      <c r="P389" s="13"/>
      <c r="Q389" s="14"/>
      <c r="R389" s="13"/>
    </row>
    <row r="390" ht="14.25" customHeight="1">
      <c r="C390" s="14"/>
      <c r="D390" s="14"/>
      <c r="G390" s="16"/>
      <c r="H390" s="16"/>
      <c r="I390" s="16"/>
      <c r="J390" s="16"/>
      <c r="K390" s="16"/>
      <c r="L390" s="16"/>
      <c r="P390" s="13"/>
      <c r="Q390" s="14"/>
      <c r="R390" s="13"/>
    </row>
    <row r="391" ht="14.25" customHeight="1">
      <c r="C391" s="14"/>
      <c r="D391" s="14"/>
      <c r="G391" s="16"/>
      <c r="H391" s="16"/>
      <c r="I391" s="16"/>
      <c r="J391" s="16"/>
      <c r="K391" s="16"/>
      <c r="L391" s="16"/>
      <c r="P391" s="13"/>
      <c r="Q391" s="14"/>
      <c r="R391" s="13"/>
    </row>
    <row r="392" ht="14.25" customHeight="1">
      <c r="C392" s="14"/>
      <c r="D392" s="14"/>
      <c r="G392" s="16"/>
      <c r="H392" s="16"/>
      <c r="I392" s="16"/>
      <c r="J392" s="16"/>
      <c r="K392" s="16"/>
      <c r="L392" s="16"/>
      <c r="P392" s="13"/>
      <c r="Q392" s="14"/>
      <c r="R392" s="13"/>
    </row>
    <row r="393" ht="14.25" customHeight="1">
      <c r="C393" s="14"/>
      <c r="D393" s="14"/>
      <c r="G393" s="16"/>
      <c r="H393" s="16"/>
      <c r="I393" s="16"/>
      <c r="J393" s="16"/>
      <c r="K393" s="16"/>
      <c r="L393" s="16"/>
      <c r="P393" s="13"/>
      <c r="Q393" s="14"/>
      <c r="R393" s="13"/>
    </row>
    <row r="394" ht="14.25" customHeight="1">
      <c r="C394" s="14"/>
      <c r="D394" s="14"/>
      <c r="G394" s="16"/>
      <c r="H394" s="16"/>
      <c r="I394" s="16"/>
      <c r="J394" s="16"/>
      <c r="K394" s="16"/>
      <c r="L394" s="16"/>
      <c r="P394" s="13"/>
      <c r="Q394" s="14"/>
      <c r="R394" s="13"/>
    </row>
    <row r="395" ht="14.25" customHeight="1">
      <c r="C395" s="14"/>
      <c r="D395" s="14"/>
      <c r="G395" s="16"/>
      <c r="H395" s="16"/>
      <c r="I395" s="16"/>
      <c r="J395" s="16"/>
      <c r="K395" s="16"/>
      <c r="L395" s="16"/>
      <c r="P395" s="13"/>
      <c r="Q395" s="14"/>
      <c r="R395" s="13"/>
    </row>
    <row r="396" ht="14.25" customHeight="1">
      <c r="C396" s="14"/>
      <c r="D396" s="14"/>
      <c r="G396" s="16"/>
      <c r="H396" s="16"/>
      <c r="I396" s="16"/>
      <c r="J396" s="16"/>
      <c r="K396" s="16"/>
      <c r="L396" s="16"/>
      <c r="P396" s="13"/>
      <c r="Q396" s="14"/>
      <c r="R396" s="13"/>
    </row>
    <row r="397" ht="14.25" customHeight="1">
      <c r="C397" s="14"/>
      <c r="D397" s="14"/>
      <c r="G397" s="16"/>
      <c r="H397" s="16"/>
      <c r="I397" s="16"/>
      <c r="J397" s="16"/>
      <c r="K397" s="16"/>
      <c r="L397" s="16"/>
      <c r="P397" s="13"/>
      <c r="Q397" s="14"/>
      <c r="R397" s="13"/>
    </row>
    <row r="398" ht="14.25" customHeight="1">
      <c r="C398" s="14"/>
      <c r="D398" s="14"/>
      <c r="G398" s="16"/>
      <c r="H398" s="16"/>
      <c r="I398" s="16"/>
      <c r="J398" s="16"/>
      <c r="K398" s="16"/>
      <c r="L398" s="16"/>
      <c r="P398" s="13"/>
      <c r="Q398" s="14"/>
      <c r="R398" s="13"/>
    </row>
    <row r="399" ht="14.25" customHeight="1">
      <c r="C399" s="14"/>
      <c r="D399" s="14"/>
      <c r="G399" s="16"/>
      <c r="H399" s="16"/>
      <c r="I399" s="16"/>
      <c r="J399" s="16"/>
      <c r="K399" s="16"/>
      <c r="L399" s="16"/>
      <c r="P399" s="13"/>
      <c r="Q399" s="14"/>
      <c r="R399" s="13"/>
    </row>
    <row r="400" ht="14.25" customHeight="1">
      <c r="C400" s="14"/>
      <c r="D400" s="14"/>
      <c r="G400" s="16"/>
      <c r="H400" s="16"/>
      <c r="I400" s="16"/>
      <c r="J400" s="16"/>
      <c r="K400" s="16"/>
      <c r="L400" s="16"/>
      <c r="P400" s="13"/>
      <c r="Q400" s="14"/>
      <c r="R400" s="13"/>
    </row>
    <row r="401" ht="14.25" customHeight="1">
      <c r="C401" s="14"/>
      <c r="D401" s="14"/>
      <c r="G401" s="16"/>
      <c r="H401" s="16"/>
      <c r="I401" s="16"/>
      <c r="J401" s="16"/>
      <c r="K401" s="16"/>
      <c r="L401" s="16"/>
      <c r="P401" s="13"/>
      <c r="Q401" s="14"/>
      <c r="R401" s="13"/>
    </row>
    <row r="402" ht="14.25" customHeight="1">
      <c r="C402" s="14"/>
      <c r="D402" s="14"/>
      <c r="G402" s="16"/>
      <c r="H402" s="16"/>
      <c r="I402" s="16"/>
      <c r="J402" s="16"/>
      <c r="K402" s="16"/>
      <c r="L402" s="16"/>
      <c r="P402" s="13"/>
      <c r="Q402" s="14"/>
      <c r="R402" s="13"/>
    </row>
    <row r="403" ht="14.25" customHeight="1">
      <c r="C403" s="14"/>
      <c r="D403" s="14"/>
      <c r="G403" s="16"/>
      <c r="H403" s="16"/>
      <c r="I403" s="16"/>
      <c r="J403" s="16"/>
      <c r="K403" s="16"/>
      <c r="L403" s="16"/>
      <c r="P403" s="13"/>
      <c r="Q403" s="14"/>
      <c r="R403" s="13"/>
    </row>
    <row r="404" ht="14.25" customHeight="1">
      <c r="C404" s="14"/>
      <c r="D404" s="14"/>
      <c r="G404" s="16"/>
      <c r="H404" s="16"/>
      <c r="I404" s="16"/>
      <c r="J404" s="16"/>
      <c r="K404" s="16"/>
      <c r="L404" s="16"/>
      <c r="P404" s="13"/>
      <c r="Q404" s="14"/>
      <c r="R404" s="13"/>
    </row>
    <row r="405" ht="14.25" customHeight="1">
      <c r="C405" s="14"/>
      <c r="D405" s="14"/>
      <c r="G405" s="16"/>
      <c r="H405" s="16"/>
      <c r="I405" s="16"/>
      <c r="J405" s="16"/>
      <c r="K405" s="16"/>
      <c r="L405" s="16"/>
      <c r="P405" s="13"/>
      <c r="Q405" s="14"/>
      <c r="R405" s="13"/>
    </row>
    <row r="406" ht="14.25" customHeight="1">
      <c r="C406" s="14"/>
      <c r="D406" s="14"/>
      <c r="G406" s="16"/>
      <c r="H406" s="16"/>
      <c r="I406" s="16"/>
      <c r="J406" s="16"/>
      <c r="K406" s="16"/>
      <c r="L406" s="16"/>
      <c r="P406" s="13"/>
      <c r="Q406" s="14"/>
      <c r="R406" s="13"/>
    </row>
    <row r="407" ht="14.25" customHeight="1">
      <c r="C407" s="14"/>
      <c r="D407" s="14"/>
      <c r="G407" s="16"/>
      <c r="H407" s="16"/>
      <c r="I407" s="16"/>
      <c r="J407" s="16"/>
      <c r="K407" s="16"/>
      <c r="L407" s="16"/>
      <c r="P407" s="13"/>
      <c r="Q407" s="14"/>
      <c r="R407" s="13"/>
    </row>
    <row r="408" ht="14.25" customHeight="1">
      <c r="C408" s="14"/>
      <c r="D408" s="14"/>
      <c r="G408" s="16"/>
      <c r="H408" s="16"/>
      <c r="I408" s="16"/>
      <c r="J408" s="16"/>
      <c r="K408" s="16"/>
      <c r="L408" s="16"/>
      <c r="P408" s="13"/>
      <c r="Q408" s="14"/>
      <c r="R408" s="13"/>
    </row>
    <row r="409" ht="14.25" customHeight="1">
      <c r="C409" s="14"/>
      <c r="D409" s="14"/>
      <c r="G409" s="16"/>
      <c r="H409" s="16"/>
      <c r="I409" s="16"/>
      <c r="J409" s="16"/>
      <c r="K409" s="16"/>
      <c r="L409" s="16"/>
      <c r="P409" s="13"/>
      <c r="Q409" s="14"/>
      <c r="R409" s="13"/>
    </row>
    <row r="410" ht="14.25" customHeight="1">
      <c r="C410" s="14"/>
      <c r="D410" s="14"/>
      <c r="G410" s="16"/>
      <c r="H410" s="16"/>
      <c r="I410" s="16"/>
      <c r="J410" s="16"/>
      <c r="K410" s="16"/>
      <c r="L410" s="16"/>
      <c r="P410" s="13"/>
      <c r="Q410" s="14"/>
      <c r="R410" s="13"/>
    </row>
    <row r="411" ht="14.25" customHeight="1">
      <c r="C411" s="14"/>
      <c r="D411" s="14"/>
      <c r="G411" s="16"/>
      <c r="H411" s="16"/>
      <c r="I411" s="16"/>
      <c r="J411" s="16"/>
      <c r="K411" s="16"/>
      <c r="L411" s="16"/>
      <c r="P411" s="13"/>
      <c r="Q411" s="14"/>
      <c r="R411" s="13"/>
    </row>
    <row r="412" ht="14.25" customHeight="1">
      <c r="C412" s="14"/>
      <c r="D412" s="14"/>
      <c r="G412" s="16"/>
      <c r="H412" s="16"/>
      <c r="I412" s="16"/>
      <c r="J412" s="16"/>
      <c r="K412" s="16"/>
      <c r="L412" s="16"/>
      <c r="P412" s="13"/>
      <c r="Q412" s="14"/>
      <c r="R412" s="13"/>
    </row>
    <row r="413" ht="14.25" customHeight="1">
      <c r="C413" s="14"/>
      <c r="D413" s="14"/>
      <c r="G413" s="16"/>
      <c r="H413" s="16"/>
      <c r="I413" s="16"/>
      <c r="J413" s="16"/>
      <c r="K413" s="16"/>
      <c r="L413" s="16"/>
      <c r="P413" s="13"/>
      <c r="Q413" s="14"/>
      <c r="R413" s="13"/>
    </row>
    <row r="414" ht="14.25" customHeight="1">
      <c r="C414" s="14"/>
      <c r="D414" s="14"/>
      <c r="G414" s="16"/>
      <c r="H414" s="16"/>
      <c r="I414" s="16"/>
      <c r="J414" s="16"/>
      <c r="K414" s="16"/>
      <c r="L414" s="16"/>
      <c r="P414" s="13"/>
      <c r="Q414" s="14"/>
      <c r="R414" s="13"/>
    </row>
    <row r="415" ht="14.25" customHeight="1">
      <c r="C415" s="14"/>
      <c r="D415" s="14"/>
      <c r="G415" s="16"/>
      <c r="H415" s="16"/>
      <c r="I415" s="16"/>
      <c r="J415" s="16"/>
      <c r="K415" s="16"/>
      <c r="L415" s="16"/>
      <c r="P415" s="13"/>
      <c r="Q415" s="14"/>
      <c r="R415" s="13"/>
    </row>
    <row r="416" ht="14.25" customHeight="1">
      <c r="C416" s="14"/>
      <c r="D416" s="14"/>
      <c r="G416" s="16"/>
      <c r="H416" s="16"/>
      <c r="I416" s="16"/>
      <c r="J416" s="16"/>
      <c r="K416" s="16"/>
      <c r="L416" s="16"/>
      <c r="P416" s="13"/>
      <c r="Q416" s="14"/>
      <c r="R416" s="13"/>
    </row>
    <row r="417" ht="14.25" customHeight="1">
      <c r="C417" s="14"/>
      <c r="D417" s="14"/>
      <c r="G417" s="16"/>
      <c r="H417" s="16"/>
      <c r="I417" s="16"/>
      <c r="J417" s="16"/>
      <c r="K417" s="16"/>
      <c r="L417" s="16"/>
      <c r="P417" s="13"/>
      <c r="Q417" s="14"/>
      <c r="R417" s="13"/>
    </row>
    <row r="418" ht="14.25" customHeight="1">
      <c r="C418" s="14"/>
      <c r="D418" s="14"/>
      <c r="G418" s="16"/>
      <c r="H418" s="16"/>
      <c r="I418" s="16"/>
      <c r="J418" s="16"/>
      <c r="K418" s="16"/>
      <c r="L418" s="16"/>
      <c r="P418" s="13"/>
      <c r="Q418" s="14"/>
      <c r="R418" s="13"/>
    </row>
    <row r="419" ht="14.25" customHeight="1">
      <c r="C419" s="14"/>
      <c r="D419" s="14"/>
      <c r="G419" s="16"/>
      <c r="H419" s="16"/>
      <c r="I419" s="16"/>
      <c r="J419" s="16"/>
      <c r="K419" s="16"/>
      <c r="L419" s="16"/>
      <c r="P419" s="13"/>
      <c r="Q419" s="14"/>
      <c r="R419" s="13"/>
    </row>
    <row r="420" ht="14.25" customHeight="1">
      <c r="C420" s="14"/>
      <c r="D420" s="14"/>
      <c r="G420" s="16"/>
      <c r="H420" s="16"/>
      <c r="I420" s="16"/>
      <c r="J420" s="16"/>
      <c r="K420" s="16"/>
      <c r="L420" s="16"/>
      <c r="P420" s="13"/>
      <c r="Q420" s="14"/>
      <c r="R420" s="13"/>
    </row>
    <row r="421" ht="14.25" customHeight="1">
      <c r="C421" s="14"/>
      <c r="D421" s="14"/>
      <c r="G421" s="16"/>
      <c r="H421" s="16"/>
      <c r="I421" s="16"/>
      <c r="J421" s="16"/>
      <c r="K421" s="16"/>
      <c r="L421" s="16"/>
      <c r="P421" s="13"/>
      <c r="Q421" s="14"/>
      <c r="R421" s="13"/>
    </row>
    <row r="422" ht="14.25" customHeight="1">
      <c r="C422" s="14"/>
      <c r="D422" s="14"/>
      <c r="G422" s="16"/>
      <c r="H422" s="16"/>
      <c r="I422" s="16"/>
      <c r="J422" s="16"/>
      <c r="K422" s="16"/>
      <c r="L422" s="16"/>
      <c r="P422" s="13"/>
      <c r="Q422" s="14"/>
      <c r="R422" s="13"/>
    </row>
    <row r="423" ht="14.25" customHeight="1">
      <c r="C423" s="14"/>
      <c r="D423" s="14"/>
      <c r="G423" s="16"/>
      <c r="H423" s="16"/>
      <c r="I423" s="16"/>
      <c r="J423" s="16"/>
      <c r="K423" s="16"/>
      <c r="L423" s="16"/>
      <c r="P423" s="13"/>
      <c r="Q423" s="14"/>
      <c r="R423" s="13"/>
    </row>
    <row r="424" ht="14.25" customHeight="1">
      <c r="C424" s="14"/>
      <c r="D424" s="14"/>
      <c r="G424" s="16"/>
      <c r="H424" s="16"/>
      <c r="I424" s="16"/>
      <c r="J424" s="16"/>
      <c r="K424" s="16"/>
      <c r="L424" s="16"/>
      <c r="P424" s="13"/>
      <c r="Q424" s="14"/>
      <c r="R424" s="13"/>
    </row>
    <row r="425" ht="14.25" customHeight="1">
      <c r="C425" s="14"/>
      <c r="D425" s="14"/>
      <c r="G425" s="16"/>
      <c r="H425" s="16"/>
      <c r="I425" s="16"/>
      <c r="J425" s="16"/>
      <c r="K425" s="16"/>
      <c r="L425" s="16"/>
      <c r="P425" s="13"/>
      <c r="Q425" s="14"/>
      <c r="R425" s="13"/>
    </row>
    <row r="426" ht="14.25" customHeight="1">
      <c r="C426" s="14"/>
      <c r="D426" s="14"/>
      <c r="G426" s="16"/>
      <c r="H426" s="16"/>
      <c r="I426" s="16"/>
      <c r="J426" s="16"/>
      <c r="K426" s="16"/>
      <c r="L426" s="16"/>
      <c r="P426" s="13"/>
      <c r="Q426" s="14"/>
      <c r="R426" s="13"/>
    </row>
    <row r="427" ht="14.25" customHeight="1">
      <c r="C427" s="14"/>
      <c r="D427" s="14"/>
      <c r="G427" s="16"/>
      <c r="H427" s="16"/>
      <c r="I427" s="16"/>
      <c r="J427" s="16"/>
      <c r="K427" s="16"/>
      <c r="L427" s="16"/>
      <c r="P427" s="13"/>
      <c r="Q427" s="14"/>
      <c r="R427" s="13"/>
    </row>
    <row r="428" ht="14.25" customHeight="1">
      <c r="C428" s="14"/>
      <c r="D428" s="14"/>
      <c r="G428" s="16"/>
      <c r="H428" s="16"/>
      <c r="I428" s="16"/>
      <c r="J428" s="16"/>
      <c r="K428" s="16"/>
      <c r="L428" s="16"/>
      <c r="P428" s="13"/>
      <c r="Q428" s="14"/>
      <c r="R428" s="13"/>
    </row>
    <row r="429" ht="14.25" customHeight="1">
      <c r="C429" s="14"/>
      <c r="D429" s="14"/>
      <c r="G429" s="16"/>
      <c r="H429" s="16"/>
      <c r="I429" s="16"/>
      <c r="J429" s="16"/>
      <c r="K429" s="16"/>
      <c r="L429" s="16"/>
      <c r="P429" s="13"/>
      <c r="Q429" s="14"/>
      <c r="R429" s="13"/>
    </row>
    <row r="430" ht="14.25" customHeight="1">
      <c r="C430" s="14"/>
      <c r="D430" s="14"/>
      <c r="G430" s="16"/>
      <c r="H430" s="16"/>
      <c r="I430" s="16"/>
      <c r="J430" s="16"/>
      <c r="K430" s="16"/>
      <c r="L430" s="16"/>
      <c r="P430" s="13"/>
      <c r="Q430" s="14"/>
      <c r="R430" s="13"/>
    </row>
    <row r="431" ht="14.25" customHeight="1">
      <c r="C431" s="14"/>
      <c r="D431" s="14"/>
      <c r="G431" s="16"/>
      <c r="H431" s="16"/>
      <c r="I431" s="16"/>
      <c r="J431" s="16"/>
      <c r="K431" s="16"/>
      <c r="L431" s="16"/>
      <c r="P431" s="13"/>
      <c r="Q431" s="14"/>
      <c r="R431" s="13"/>
    </row>
    <row r="432" ht="14.25" customHeight="1">
      <c r="C432" s="14"/>
      <c r="D432" s="14"/>
      <c r="G432" s="16"/>
      <c r="H432" s="16"/>
      <c r="I432" s="16"/>
      <c r="J432" s="16"/>
      <c r="K432" s="16"/>
      <c r="L432" s="16"/>
      <c r="P432" s="13"/>
      <c r="Q432" s="14"/>
      <c r="R432" s="13"/>
    </row>
    <row r="433" ht="14.25" customHeight="1">
      <c r="C433" s="14"/>
      <c r="D433" s="14"/>
      <c r="G433" s="16"/>
      <c r="H433" s="16"/>
      <c r="I433" s="16"/>
      <c r="J433" s="16"/>
      <c r="K433" s="16"/>
      <c r="L433" s="16"/>
      <c r="P433" s="13"/>
      <c r="Q433" s="14"/>
      <c r="R433" s="13"/>
    </row>
    <row r="434" ht="14.25" customHeight="1">
      <c r="C434" s="14"/>
      <c r="D434" s="14"/>
      <c r="G434" s="16"/>
      <c r="H434" s="16"/>
      <c r="I434" s="16"/>
      <c r="J434" s="16"/>
      <c r="K434" s="16"/>
      <c r="L434" s="16"/>
      <c r="P434" s="13"/>
      <c r="Q434" s="14"/>
      <c r="R434" s="13"/>
    </row>
    <row r="435" ht="14.25" customHeight="1">
      <c r="C435" s="14"/>
      <c r="D435" s="14"/>
      <c r="G435" s="16"/>
      <c r="H435" s="16"/>
      <c r="I435" s="16"/>
      <c r="J435" s="16"/>
      <c r="K435" s="16"/>
      <c r="L435" s="16"/>
      <c r="P435" s="13"/>
      <c r="Q435" s="14"/>
      <c r="R435" s="13"/>
    </row>
    <row r="436" ht="14.25" customHeight="1">
      <c r="C436" s="14"/>
      <c r="D436" s="14"/>
      <c r="G436" s="16"/>
      <c r="H436" s="16"/>
      <c r="I436" s="16"/>
      <c r="J436" s="16"/>
      <c r="K436" s="16"/>
      <c r="L436" s="16"/>
      <c r="P436" s="13"/>
      <c r="Q436" s="14"/>
      <c r="R436" s="13"/>
    </row>
    <row r="437" ht="14.25" customHeight="1">
      <c r="C437" s="14"/>
      <c r="D437" s="14"/>
      <c r="G437" s="16"/>
      <c r="H437" s="16"/>
      <c r="I437" s="16"/>
      <c r="J437" s="16"/>
      <c r="K437" s="16"/>
      <c r="L437" s="16"/>
      <c r="P437" s="13"/>
      <c r="Q437" s="14"/>
      <c r="R437" s="13"/>
    </row>
    <row r="438" ht="14.25" customHeight="1">
      <c r="C438" s="14"/>
      <c r="D438" s="14"/>
      <c r="G438" s="16"/>
      <c r="H438" s="16"/>
      <c r="I438" s="16"/>
      <c r="J438" s="16"/>
      <c r="K438" s="16"/>
      <c r="L438" s="16"/>
      <c r="P438" s="13"/>
      <c r="Q438" s="14"/>
      <c r="R438" s="13"/>
    </row>
    <row r="439" ht="14.25" customHeight="1">
      <c r="C439" s="14"/>
      <c r="D439" s="14"/>
      <c r="G439" s="16"/>
      <c r="H439" s="16"/>
      <c r="I439" s="16"/>
      <c r="J439" s="16"/>
      <c r="K439" s="16"/>
      <c r="L439" s="16"/>
      <c r="P439" s="13"/>
      <c r="Q439" s="14"/>
      <c r="R439" s="13"/>
    </row>
    <row r="440" ht="14.25" customHeight="1">
      <c r="C440" s="14"/>
      <c r="D440" s="14"/>
      <c r="G440" s="16"/>
      <c r="H440" s="16"/>
      <c r="I440" s="16"/>
      <c r="J440" s="16"/>
      <c r="K440" s="16"/>
      <c r="L440" s="16"/>
      <c r="P440" s="13"/>
      <c r="Q440" s="14"/>
      <c r="R440" s="13"/>
    </row>
    <row r="441" ht="14.25" customHeight="1">
      <c r="C441" s="14"/>
      <c r="D441" s="14"/>
      <c r="G441" s="16"/>
      <c r="H441" s="16"/>
      <c r="I441" s="16"/>
      <c r="J441" s="16"/>
      <c r="K441" s="16"/>
      <c r="L441" s="16"/>
      <c r="P441" s="13"/>
      <c r="Q441" s="14"/>
      <c r="R441" s="13"/>
    </row>
    <row r="442" ht="14.25" customHeight="1">
      <c r="C442" s="14"/>
      <c r="D442" s="14"/>
      <c r="G442" s="16"/>
      <c r="H442" s="16"/>
      <c r="I442" s="16"/>
      <c r="J442" s="16"/>
      <c r="K442" s="16"/>
      <c r="L442" s="16"/>
      <c r="P442" s="13"/>
      <c r="Q442" s="14"/>
      <c r="R442" s="13"/>
    </row>
    <row r="443" ht="14.25" customHeight="1">
      <c r="C443" s="14"/>
      <c r="D443" s="14"/>
      <c r="G443" s="16"/>
      <c r="H443" s="16"/>
      <c r="I443" s="16"/>
      <c r="J443" s="16"/>
      <c r="K443" s="16"/>
      <c r="L443" s="16"/>
      <c r="P443" s="13"/>
      <c r="Q443" s="14"/>
      <c r="R443" s="13"/>
    </row>
    <row r="444" ht="14.25" customHeight="1">
      <c r="C444" s="14"/>
      <c r="D444" s="14"/>
      <c r="G444" s="16"/>
      <c r="H444" s="16"/>
      <c r="I444" s="16"/>
      <c r="J444" s="16"/>
      <c r="K444" s="16"/>
      <c r="L444" s="16"/>
      <c r="P444" s="13"/>
      <c r="Q444" s="14"/>
      <c r="R444" s="13"/>
    </row>
    <row r="445" ht="14.25" customHeight="1">
      <c r="C445" s="14"/>
      <c r="D445" s="14"/>
      <c r="G445" s="16"/>
      <c r="H445" s="16"/>
      <c r="I445" s="16"/>
      <c r="J445" s="16"/>
      <c r="K445" s="16"/>
      <c r="L445" s="16"/>
      <c r="P445" s="13"/>
      <c r="Q445" s="14"/>
      <c r="R445" s="13"/>
    </row>
    <row r="446" ht="14.25" customHeight="1">
      <c r="C446" s="14"/>
      <c r="D446" s="14"/>
      <c r="G446" s="16"/>
      <c r="H446" s="16"/>
      <c r="I446" s="16"/>
      <c r="J446" s="16"/>
      <c r="K446" s="16"/>
      <c r="L446" s="16"/>
      <c r="P446" s="13"/>
      <c r="Q446" s="14"/>
      <c r="R446" s="13"/>
    </row>
    <row r="447" ht="14.25" customHeight="1">
      <c r="C447" s="14"/>
      <c r="D447" s="14"/>
      <c r="G447" s="16"/>
      <c r="H447" s="16"/>
      <c r="I447" s="16"/>
      <c r="J447" s="16"/>
      <c r="K447" s="16"/>
      <c r="L447" s="16"/>
      <c r="P447" s="13"/>
      <c r="Q447" s="14"/>
      <c r="R447" s="13"/>
    </row>
    <row r="448" ht="14.25" customHeight="1">
      <c r="C448" s="14"/>
      <c r="D448" s="14"/>
      <c r="G448" s="16"/>
      <c r="H448" s="16"/>
      <c r="I448" s="16"/>
      <c r="J448" s="16"/>
      <c r="K448" s="16"/>
      <c r="L448" s="16"/>
      <c r="P448" s="13"/>
      <c r="Q448" s="14"/>
      <c r="R448" s="13"/>
    </row>
    <row r="449" ht="14.25" customHeight="1">
      <c r="C449" s="14"/>
      <c r="D449" s="14"/>
      <c r="G449" s="16"/>
      <c r="H449" s="16"/>
      <c r="I449" s="16"/>
      <c r="J449" s="16"/>
      <c r="K449" s="16"/>
      <c r="L449" s="16"/>
      <c r="P449" s="13"/>
      <c r="Q449" s="14"/>
      <c r="R449" s="13"/>
    </row>
    <row r="450" ht="14.25" customHeight="1">
      <c r="C450" s="14"/>
      <c r="D450" s="14"/>
      <c r="G450" s="16"/>
      <c r="H450" s="16"/>
      <c r="I450" s="16"/>
      <c r="J450" s="16"/>
      <c r="K450" s="16"/>
      <c r="L450" s="16"/>
      <c r="P450" s="13"/>
      <c r="Q450" s="14"/>
      <c r="R450" s="13"/>
    </row>
    <row r="451" ht="14.25" customHeight="1">
      <c r="C451" s="14"/>
      <c r="D451" s="14"/>
      <c r="G451" s="16"/>
      <c r="H451" s="16"/>
      <c r="I451" s="16"/>
      <c r="J451" s="16"/>
      <c r="K451" s="16"/>
      <c r="L451" s="16"/>
      <c r="P451" s="13"/>
      <c r="Q451" s="14"/>
      <c r="R451" s="13"/>
    </row>
    <row r="452" ht="14.25" customHeight="1">
      <c r="C452" s="14"/>
      <c r="D452" s="14"/>
      <c r="G452" s="16"/>
      <c r="H452" s="16"/>
      <c r="I452" s="16"/>
      <c r="J452" s="16"/>
      <c r="K452" s="16"/>
      <c r="L452" s="16"/>
      <c r="P452" s="13"/>
      <c r="Q452" s="14"/>
      <c r="R452" s="13"/>
    </row>
    <row r="453" ht="14.25" customHeight="1">
      <c r="C453" s="14"/>
      <c r="D453" s="14"/>
      <c r="G453" s="16"/>
      <c r="H453" s="16"/>
      <c r="I453" s="16"/>
      <c r="J453" s="16"/>
      <c r="K453" s="16"/>
      <c r="L453" s="16"/>
      <c r="P453" s="13"/>
      <c r="Q453" s="14"/>
      <c r="R453" s="13"/>
    </row>
    <row r="454" ht="14.25" customHeight="1">
      <c r="C454" s="14"/>
      <c r="D454" s="14"/>
      <c r="G454" s="16"/>
      <c r="H454" s="16"/>
      <c r="I454" s="16"/>
      <c r="J454" s="16"/>
      <c r="K454" s="16"/>
      <c r="L454" s="16"/>
      <c r="P454" s="13"/>
      <c r="Q454" s="14"/>
      <c r="R454" s="13"/>
    </row>
    <row r="455" ht="14.25" customHeight="1">
      <c r="C455" s="14"/>
      <c r="D455" s="14"/>
      <c r="G455" s="16"/>
      <c r="H455" s="16"/>
      <c r="I455" s="16"/>
      <c r="J455" s="16"/>
      <c r="K455" s="16"/>
      <c r="L455" s="16"/>
      <c r="P455" s="13"/>
      <c r="Q455" s="14"/>
      <c r="R455" s="13"/>
    </row>
    <row r="456" ht="14.25" customHeight="1">
      <c r="C456" s="14"/>
      <c r="D456" s="14"/>
      <c r="G456" s="16"/>
      <c r="H456" s="16"/>
      <c r="I456" s="16"/>
      <c r="J456" s="16"/>
      <c r="K456" s="16"/>
      <c r="L456" s="16"/>
      <c r="P456" s="13"/>
      <c r="Q456" s="14"/>
      <c r="R456" s="13"/>
    </row>
    <row r="457" ht="14.25" customHeight="1">
      <c r="C457" s="14"/>
      <c r="D457" s="14"/>
      <c r="G457" s="16"/>
      <c r="H457" s="16"/>
      <c r="I457" s="16"/>
      <c r="J457" s="16"/>
      <c r="K457" s="16"/>
      <c r="L457" s="16"/>
      <c r="P457" s="13"/>
      <c r="Q457" s="14"/>
      <c r="R457" s="13"/>
    </row>
    <row r="458" ht="14.25" customHeight="1">
      <c r="C458" s="14"/>
      <c r="D458" s="14"/>
      <c r="G458" s="16"/>
      <c r="H458" s="16"/>
      <c r="I458" s="16"/>
      <c r="J458" s="16"/>
      <c r="K458" s="16"/>
      <c r="L458" s="16"/>
      <c r="P458" s="13"/>
      <c r="Q458" s="14"/>
      <c r="R458" s="13"/>
    </row>
    <row r="459" ht="14.25" customHeight="1">
      <c r="C459" s="14"/>
      <c r="D459" s="14"/>
      <c r="G459" s="16"/>
      <c r="H459" s="16"/>
      <c r="I459" s="16"/>
      <c r="J459" s="16"/>
      <c r="K459" s="16"/>
      <c r="L459" s="16"/>
      <c r="P459" s="13"/>
      <c r="Q459" s="14"/>
      <c r="R459" s="13"/>
    </row>
    <row r="460" ht="14.25" customHeight="1">
      <c r="C460" s="14"/>
      <c r="D460" s="14"/>
      <c r="G460" s="16"/>
      <c r="H460" s="16"/>
      <c r="I460" s="16"/>
      <c r="J460" s="16"/>
      <c r="K460" s="16"/>
      <c r="L460" s="16"/>
      <c r="P460" s="13"/>
      <c r="Q460" s="14"/>
      <c r="R460" s="13"/>
    </row>
    <row r="461" ht="14.25" customHeight="1">
      <c r="C461" s="14"/>
      <c r="D461" s="14"/>
      <c r="G461" s="16"/>
      <c r="H461" s="16"/>
      <c r="I461" s="16"/>
      <c r="J461" s="16"/>
      <c r="K461" s="16"/>
      <c r="L461" s="16"/>
      <c r="P461" s="13"/>
      <c r="Q461" s="14"/>
      <c r="R461" s="13"/>
    </row>
    <row r="462" ht="14.25" customHeight="1">
      <c r="C462" s="14"/>
      <c r="D462" s="14"/>
      <c r="G462" s="16"/>
      <c r="H462" s="16"/>
      <c r="I462" s="16"/>
      <c r="J462" s="16"/>
      <c r="K462" s="16"/>
      <c r="L462" s="16"/>
      <c r="P462" s="13"/>
      <c r="Q462" s="14"/>
      <c r="R462" s="13"/>
    </row>
    <row r="463" ht="14.25" customHeight="1">
      <c r="C463" s="14"/>
      <c r="D463" s="14"/>
      <c r="G463" s="16"/>
      <c r="H463" s="16"/>
      <c r="I463" s="16"/>
      <c r="J463" s="16"/>
      <c r="K463" s="16"/>
      <c r="L463" s="16"/>
      <c r="P463" s="13"/>
      <c r="Q463" s="14"/>
      <c r="R463" s="13"/>
    </row>
    <row r="464" ht="14.25" customHeight="1">
      <c r="C464" s="14"/>
      <c r="D464" s="14"/>
      <c r="G464" s="16"/>
      <c r="H464" s="16"/>
      <c r="I464" s="16"/>
      <c r="J464" s="16"/>
      <c r="K464" s="16"/>
      <c r="L464" s="16"/>
      <c r="P464" s="13"/>
      <c r="Q464" s="14"/>
      <c r="R464" s="13"/>
    </row>
    <row r="465" ht="14.25" customHeight="1">
      <c r="C465" s="14"/>
      <c r="D465" s="14"/>
      <c r="G465" s="16"/>
      <c r="H465" s="16"/>
      <c r="I465" s="16"/>
      <c r="J465" s="16"/>
      <c r="K465" s="16"/>
      <c r="L465" s="16"/>
      <c r="P465" s="13"/>
      <c r="Q465" s="14"/>
      <c r="R465" s="13"/>
    </row>
    <row r="466" ht="14.25" customHeight="1">
      <c r="C466" s="14"/>
      <c r="D466" s="14"/>
      <c r="G466" s="16"/>
      <c r="H466" s="16"/>
      <c r="I466" s="16"/>
      <c r="J466" s="16"/>
      <c r="K466" s="16"/>
      <c r="L466" s="16"/>
      <c r="P466" s="13"/>
      <c r="Q466" s="14"/>
      <c r="R466" s="13"/>
    </row>
    <row r="467" ht="14.25" customHeight="1">
      <c r="C467" s="14"/>
      <c r="D467" s="14"/>
      <c r="G467" s="16"/>
      <c r="H467" s="16"/>
      <c r="I467" s="16"/>
      <c r="J467" s="16"/>
      <c r="K467" s="16"/>
      <c r="L467" s="16"/>
      <c r="P467" s="13"/>
      <c r="Q467" s="14"/>
      <c r="R467" s="13"/>
    </row>
    <row r="468" ht="14.25" customHeight="1">
      <c r="C468" s="14"/>
      <c r="D468" s="14"/>
      <c r="G468" s="16"/>
      <c r="H468" s="16"/>
      <c r="I468" s="16"/>
      <c r="J468" s="16"/>
      <c r="K468" s="16"/>
      <c r="L468" s="16"/>
      <c r="P468" s="13"/>
      <c r="Q468" s="14"/>
      <c r="R468" s="13"/>
    </row>
    <row r="469" ht="14.25" customHeight="1">
      <c r="C469" s="14"/>
      <c r="D469" s="14"/>
      <c r="G469" s="16"/>
      <c r="H469" s="16"/>
      <c r="I469" s="16"/>
      <c r="J469" s="16"/>
      <c r="K469" s="16"/>
      <c r="L469" s="16"/>
      <c r="P469" s="13"/>
      <c r="Q469" s="14"/>
      <c r="R469" s="13"/>
    </row>
    <row r="470" ht="14.25" customHeight="1">
      <c r="C470" s="14"/>
      <c r="D470" s="14"/>
      <c r="G470" s="16"/>
      <c r="H470" s="16"/>
      <c r="I470" s="16"/>
      <c r="J470" s="16"/>
      <c r="K470" s="16"/>
      <c r="L470" s="16"/>
      <c r="P470" s="13"/>
      <c r="Q470" s="14"/>
      <c r="R470" s="13"/>
    </row>
    <row r="471" ht="14.25" customHeight="1">
      <c r="C471" s="14"/>
      <c r="D471" s="14"/>
      <c r="G471" s="16"/>
      <c r="H471" s="16"/>
      <c r="I471" s="16"/>
      <c r="J471" s="16"/>
      <c r="K471" s="16"/>
      <c r="L471" s="16"/>
      <c r="P471" s="13"/>
      <c r="Q471" s="14"/>
      <c r="R471" s="13"/>
    </row>
    <row r="472" ht="14.25" customHeight="1">
      <c r="C472" s="14"/>
      <c r="D472" s="14"/>
      <c r="G472" s="16"/>
      <c r="H472" s="16"/>
      <c r="I472" s="16"/>
      <c r="J472" s="16"/>
      <c r="K472" s="16"/>
      <c r="L472" s="16"/>
      <c r="P472" s="13"/>
      <c r="Q472" s="14"/>
      <c r="R472" s="13"/>
    </row>
    <row r="473" ht="14.25" customHeight="1">
      <c r="C473" s="14"/>
      <c r="D473" s="14"/>
      <c r="G473" s="16"/>
      <c r="H473" s="16"/>
      <c r="I473" s="16"/>
      <c r="J473" s="16"/>
      <c r="K473" s="16"/>
      <c r="L473" s="16"/>
      <c r="P473" s="13"/>
      <c r="Q473" s="14"/>
      <c r="R473" s="13"/>
    </row>
    <row r="474" ht="14.25" customHeight="1">
      <c r="C474" s="14"/>
      <c r="D474" s="14"/>
      <c r="G474" s="16"/>
      <c r="H474" s="16"/>
      <c r="I474" s="16"/>
      <c r="J474" s="16"/>
      <c r="K474" s="16"/>
      <c r="L474" s="16"/>
      <c r="P474" s="13"/>
      <c r="Q474" s="14"/>
      <c r="R474" s="13"/>
    </row>
    <row r="475" ht="14.25" customHeight="1">
      <c r="C475" s="14"/>
      <c r="D475" s="14"/>
      <c r="G475" s="16"/>
      <c r="H475" s="16"/>
      <c r="I475" s="16"/>
      <c r="J475" s="16"/>
      <c r="K475" s="16"/>
      <c r="L475" s="16"/>
      <c r="P475" s="13"/>
      <c r="Q475" s="14"/>
      <c r="R475" s="13"/>
    </row>
    <row r="476" ht="14.25" customHeight="1">
      <c r="C476" s="14"/>
      <c r="D476" s="14"/>
      <c r="G476" s="16"/>
      <c r="H476" s="16"/>
      <c r="I476" s="16"/>
      <c r="J476" s="16"/>
      <c r="K476" s="16"/>
      <c r="L476" s="16"/>
      <c r="P476" s="13"/>
      <c r="Q476" s="14"/>
      <c r="R476" s="13"/>
    </row>
    <row r="477" ht="14.25" customHeight="1">
      <c r="C477" s="14"/>
      <c r="D477" s="14"/>
      <c r="G477" s="16"/>
      <c r="H477" s="16"/>
      <c r="I477" s="16"/>
      <c r="J477" s="16"/>
      <c r="K477" s="16"/>
      <c r="L477" s="16"/>
      <c r="P477" s="13"/>
      <c r="Q477" s="14"/>
      <c r="R477" s="13"/>
    </row>
    <row r="478" ht="14.25" customHeight="1">
      <c r="C478" s="14"/>
      <c r="D478" s="14"/>
      <c r="G478" s="16"/>
      <c r="H478" s="16"/>
      <c r="I478" s="16"/>
      <c r="J478" s="16"/>
      <c r="K478" s="16"/>
      <c r="L478" s="16"/>
      <c r="P478" s="13"/>
      <c r="Q478" s="14"/>
      <c r="R478" s="13"/>
    </row>
    <row r="479" ht="14.25" customHeight="1">
      <c r="C479" s="14"/>
      <c r="D479" s="14"/>
      <c r="G479" s="16"/>
      <c r="H479" s="16"/>
      <c r="I479" s="16"/>
      <c r="J479" s="16"/>
      <c r="K479" s="16"/>
      <c r="L479" s="16"/>
      <c r="P479" s="13"/>
      <c r="Q479" s="14"/>
      <c r="R479" s="13"/>
    </row>
    <row r="480" ht="14.25" customHeight="1">
      <c r="C480" s="14"/>
      <c r="D480" s="14"/>
      <c r="G480" s="16"/>
      <c r="H480" s="16"/>
      <c r="I480" s="16"/>
      <c r="J480" s="16"/>
      <c r="K480" s="16"/>
      <c r="L480" s="16"/>
      <c r="P480" s="13"/>
      <c r="Q480" s="14"/>
      <c r="R480" s="13"/>
    </row>
    <row r="481" ht="14.25" customHeight="1">
      <c r="C481" s="14"/>
      <c r="D481" s="14"/>
      <c r="G481" s="16"/>
      <c r="H481" s="16"/>
      <c r="I481" s="16"/>
      <c r="J481" s="16"/>
      <c r="K481" s="16"/>
      <c r="L481" s="16"/>
      <c r="P481" s="13"/>
      <c r="Q481" s="14"/>
      <c r="R481" s="13"/>
    </row>
    <row r="482" ht="14.25" customHeight="1">
      <c r="C482" s="14"/>
      <c r="D482" s="14"/>
      <c r="G482" s="16"/>
      <c r="H482" s="16"/>
      <c r="I482" s="16"/>
      <c r="J482" s="16"/>
      <c r="K482" s="16"/>
      <c r="L482" s="16"/>
      <c r="P482" s="13"/>
      <c r="Q482" s="14"/>
      <c r="R482" s="13"/>
    </row>
    <row r="483" ht="14.25" customHeight="1">
      <c r="C483" s="14"/>
      <c r="D483" s="14"/>
      <c r="G483" s="16"/>
      <c r="H483" s="16"/>
      <c r="I483" s="16"/>
      <c r="J483" s="16"/>
      <c r="K483" s="16"/>
      <c r="L483" s="16"/>
      <c r="P483" s="13"/>
      <c r="Q483" s="14"/>
      <c r="R483" s="13"/>
    </row>
    <row r="484" ht="14.25" customHeight="1">
      <c r="C484" s="14"/>
      <c r="D484" s="14"/>
      <c r="G484" s="16"/>
      <c r="H484" s="16"/>
      <c r="I484" s="16"/>
      <c r="J484" s="16"/>
      <c r="K484" s="16"/>
      <c r="L484" s="16"/>
      <c r="P484" s="13"/>
      <c r="Q484" s="14"/>
      <c r="R484" s="13"/>
    </row>
    <row r="485" ht="14.25" customHeight="1">
      <c r="C485" s="14"/>
      <c r="D485" s="14"/>
      <c r="G485" s="16"/>
      <c r="H485" s="16"/>
      <c r="I485" s="16"/>
      <c r="J485" s="16"/>
      <c r="K485" s="16"/>
      <c r="L485" s="16"/>
      <c r="P485" s="13"/>
      <c r="Q485" s="14"/>
      <c r="R485" s="13"/>
    </row>
    <row r="486" ht="14.25" customHeight="1">
      <c r="C486" s="14"/>
      <c r="D486" s="14"/>
      <c r="G486" s="16"/>
      <c r="H486" s="16"/>
      <c r="I486" s="16"/>
      <c r="J486" s="16"/>
      <c r="K486" s="16"/>
      <c r="L486" s="16"/>
      <c r="P486" s="13"/>
      <c r="Q486" s="14"/>
      <c r="R486" s="13"/>
    </row>
    <row r="487" ht="14.25" customHeight="1">
      <c r="C487" s="14"/>
      <c r="D487" s="14"/>
      <c r="G487" s="16"/>
      <c r="H487" s="16"/>
      <c r="I487" s="16"/>
      <c r="J487" s="16"/>
      <c r="K487" s="16"/>
      <c r="L487" s="16"/>
      <c r="P487" s="13"/>
      <c r="Q487" s="14"/>
      <c r="R487" s="13"/>
    </row>
    <row r="488" ht="14.25" customHeight="1">
      <c r="C488" s="14"/>
      <c r="D488" s="14"/>
      <c r="G488" s="16"/>
      <c r="H488" s="16"/>
      <c r="I488" s="16"/>
      <c r="J488" s="16"/>
      <c r="K488" s="16"/>
      <c r="L488" s="16"/>
      <c r="P488" s="13"/>
      <c r="Q488" s="14"/>
      <c r="R488" s="13"/>
    </row>
    <row r="489" ht="14.25" customHeight="1">
      <c r="C489" s="14"/>
      <c r="D489" s="14"/>
      <c r="G489" s="16"/>
      <c r="H489" s="16"/>
      <c r="I489" s="16"/>
      <c r="J489" s="16"/>
      <c r="K489" s="16"/>
      <c r="L489" s="16"/>
      <c r="P489" s="13"/>
      <c r="Q489" s="14"/>
      <c r="R489" s="13"/>
    </row>
    <row r="490" ht="14.25" customHeight="1">
      <c r="C490" s="14"/>
      <c r="D490" s="14"/>
      <c r="G490" s="16"/>
      <c r="H490" s="16"/>
      <c r="I490" s="16"/>
      <c r="J490" s="16"/>
      <c r="K490" s="16"/>
      <c r="L490" s="16"/>
      <c r="P490" s="13"/>
      <c r="Q490" s="14"/>
      <c r="R490" s="13"/>
    </row>
    <row r="491" ht="14.25" customHeight="1">
      <c r="C491" s="14"/>
      <c r="D491" s="14"/>
      <c r="G491" s="16"/>
      <c r="H491" s="16"/>
      <c r="I491" s="16"/>
      <c r="J491" s="16"/>
      <c r="K491" s="16"/>
      <c r="L491" s="16"/>
      <c r="P491" s="13"/>
      <c r="Q491" s="14"/>
      <c r="R491" s="13"/>
    </row>
    <row r="492" ht="14.25" customHeight="1">
      <c r="C492" s="14"/>
      <c r="D492" s="14"/>
      <c r="G492" s="16"/>
      <c r="H492" s="16"/>
      <c r="I492" s="16"/>
      <c r="J492" s="16"/>
      <c r="K492" s="16"/>
      <c r="L492" s="16"/>
      <c r="P492" s="13"/>
      <c r="Q492" s="14"/>
      <c r="R492" s="13"/>
    </row>
    <row r="493" ht="14.25" customHeight="1">
      <c r="C493" s="14"/>
      <c r="D493" s="14"/>
      <c r="G493" s="16"/>
      <c r="H493" s="16"/>
      <c r="I493" s="16"/>
      <c r="J493" s="16"/>
      <c r="K493" s="16"/>
      <c r="L493" s="16"/>
      <c r="P493" s="13"/>
      <c r="Q493" s="14"/>
      <c r="R493" s="13"/>
    </row>
    <row r="494" ht="14.25" customHeight="1">
      <c r="C494" s="14"/>
      <c r="D494" s="14"/>
      <c r="G494" s="16"/>
      <c r="H494" s="16"/>
      <c r="I494" s="16"/>
      <c r="J494" s="16"/>
      <c r="K494" s="16"/>
      <c r="L494" s="16"/>
      <c r="P494" s="13"/>
      <c r="Q494" s="14"/>
      <c r="R494" s="13"/>
    </row>
    <row r="495" ht="14.25" customHeight="1">
      <c r="C495" s="14"/>
      <c r="D495" s="14"/>
      <c r="G495" s="16"/>
      <c r="H495" s="16"/>
      <c r="I495" s="16"/>
      <c r="J495" s="16"/>
      <c r="K495" s="16"/>
      <c r="L495" s="16"/>
      <c r="P495" s="13"/>
      <c r="Q495" s="14"/>
      <c r="R495" s="13"/>
    </row>
    <row r="496" ht="14.25" customHeight="1">
      <c r="C496" s="14"/>
      <c r="D496" s="14"/>
      <c r="G496" s="16"/>
      <c r="H496" s="16"/>
      <c r="I496" s="16"/>
      <c r="J496" s="16"/>
      <c r="K496" s="16"/>
      <c r="L496" s="16"/>
      <c r="P496" s="13"/>
      <c r="Q496" s="14"/>
      <c r="R496" s="13"/>
    </row>
    <row r="497" ht="14.25" customHeight="1">
      <c r="C497" s="14"/>
      <c r="D497" s="14"/>
      <c r="G497" s="16"/>
      <c r="H497" s="16"/>
      <c r="I497" s="16"/>
      <c r="J497" s="16"/>
      <c r="K497" s="16"/>
      <c r="L497" s="16"/>
      <c r="P497" s="13"/>
      <c r="Q497" s="14"/>
      <c r="R497" s="13"/>
    </row>
    <row r="498" ht="14.25" customHeight="1">
      <c r="C498" s="14"/>
      <c r="D498" s="14"/>
      <c r="G498" s="16"/>
      <c r="H498" s="16"/>
      <c r="I498" s="16"/>
      <c r="J498" s="16"/>
      <c r="K498" s="16"/>
      <c r="L498" s="16"/>
      <c r="P498" s="13"/>
      <c r="Q498" s="14"/>
      <c r="R498" s="13"/>
    </row>
    <row r="499" ht="14.25" customHeight="1">
      <c r="C499" s="14"/>
      <c r="D499" s="14"/>
      <c r="G499" s="16"/>
      <c r="H499" s="16"/>
      <c r="I499" s="16"/>
      <c r="J499" s="16"/>
      <c r="K499" s="16"/>
      <c r="L499" s="16"/>
      <c r="P499" s="13"/>
      <c r="Q499" s="14"/>
      <c r="R499" s="13"/>
    </row>
    <row r="500" ht="14.25" customHeight="1">
      <c r="C500" s="14"/>
      <c r="D500" s="14"/>
      <c r="G500" s="16"/>
      <c r="H500" s="16"/>
      <c r="I500" s="16"/>
      <c r="J500" s="16"/>
      <c r="K500" s="16"/>
      <c r="L500" s="16"/>
      <c r="P500" s="13"/>
      <c r="Q500" s="14"/>
      <c r="R500" s="13"/>
    </row>
    <row r="501" ht="14.25" customHeight="1">
      <c r="C501" s="14"/>
      <c r="D501" s="14"/>
      <c r="G501" s="16"/>
      <c r="H501" s="16"/>
      <c r="I501" s="16"/>
      <c r="J501" s="16"/>
      <c r="K501" s="16"/>
      <c r="L501" s="16"/>
      <c r="P501" s="13"/>
      <c r="Q501" s="14"/>
      <c r="R501" s="13"/>
    </row>
    <row r="502" ht="15.75" customHeight="1">
      <c r="C502" s="14"/>
      <c r="D502" s="14"/>
      <c r="G502" s="16"/>
      <c r="H502" s="16"/>
      <c r="I502" s="16"/>
      <c r="J502" s="16"/>
      <c r="K502" s="16"/>
      <c r="L502" s="16"/>
      <c r="P502" s="13"/>
      <c r="Q502" s="14"/>
      <c r="R502" s="13"/>
    </row>
    <row r="503" ht="15.75" customHeight="1">
      <c r="C503" s="14"/>
      <c r="D503" s="14"/>
      <c r="G503" s="16"/>
      <c r="H503" s="16"/>
      <c r="I503" s="16"/>
      <c r="J503" s="16"/>
      <c r="K503" s="16"/>
      <c r="L503" s="16"/>
      <c r="P503" s="13"/>
      <c r="Q503" s="14"/>
      <c r="R503" s="13"/>
    </row>
    <row r="504" ht="15.75" customHeight="1">
      <c r="C504" s="14"/>
      <c r="D504" s="14"/>
      <c r="G504" s="16"/>
      <c r="H504" s="16"/>
      <c r="I504" s="16"/>
      <c r="J504" s="16"/>
      <c r="K504" s="16"/>
      <c r="L504" s="16"/>
      <c r="P504" s="13"/>
      <c r="Q504" s="14"/>
      <c r="R504" s="13"/>
    </row>
    <row r="505" ht="15.75" customHeight="1">
      <c r="C505" s="14"/>
      <c r="D505" s="14"/>
      <c r="G505" s="16"/>
      <c r="H505" s="16"/>
      <c r="I505" s="16"/>
      <c r="J505" s="16"/>
      <c r="K505" s="16"/>
      <c r="L505" s="16"/>
      <c r="P505" s="13"/>
      <c r="Q505" s="14"/>
      <c r="R505" s="13"/>
    </row>
    <row r="506" ht="15.75" customHeight="1">
      <c r="C506" s="14"/>
      <c r="D506" s="14"/>
      <c r="G506" s="16"/>
      <c r="H506" s="16"/>
      <c r="I506" s="16"/>
      <c r="J506" s="16"/>
      <c r="K506" s="16"/>
      <c r="L506" s="16"/>
      <c r="P506" s="13"/>
      <c r="Q506" s="14"/>
      <c r="R506" s="13"/>
    </row>
    <row r="507" ht="15.75" customHeight="1">
      <c r="C507" s="14"/>
      <c r="D507" s="14"/>
      <c r="G507" s="16"/>
      <c r="H507" s="16"/>
      <c r="I507" s="16"/>
      <c r="J507" s="16"/>
      <c r="K507" s="16"/>
      <c r="L507" s="16"/>
      <c r="P507" s="13"/>
      <c r="Q507" s="14"/>
      <c r="R507" s="13"/>
    </row>
    <row r="508" ht="15.75" customHeight="1">
      <c r="C508" s="14"/>
      <c r="D508" s="14"/>
      <c r="G508" s="16"/>
      <c r="H508" s="16"/>
      <c r="I508" s="16"/>
      <c r="J508" s="16"/>
      <c r="K508" s="16"/>
      <c r="L508" s="16"/>
      <c r="P508" s="13"/>
      <c r="Q508" s="14"/>
      <c r="R508" s="13"/>
    </row>
    <row r="509" ht="15.75" customHeight="1">
      <c r="C509" s="14"/>
      <c r="D509" s="14"/>
      <c r="G509" s="16"/>
      <c r="H509" s="16"/>
      <c r="I509" s="16"/>
      <c r="J509" s="16"/>
      <c r="K509" s="16"/>
      <c r="L509" s="16"/>
      <c r="P509" s="13"/>
      <c r="Q509" s="14"/>
      <c r="R509" s="13"/>
    </row>
    <row r="510" ht="15.75" customHeight="1">
      <c r="C510" s="14"/>
      <c r="D510" s="14"/>
      <c r="G510" s="16"/>
      <c r="H510" s="16"/>
      <c r="I510" s="16"/>
      <c r="J510" s="16"/>
      <c r="K510" s="16"/>
      <c r="L510" s="16"/>
      <c r="P510" s="13"/>
      <c r="Q510" s="14"/>
      <c r="R510" s="13"/>
    </row>
    <row r="511" ht="15.75" customHeight="1">
      <c r="C511" s="14"/>
      <c r="D511" s="14"/>
      <c r="G511" s="16"/>
      <c r="H511" s="16"/>
      <c r="I511" s="16"/>
      <c r="J511" s="16"/>
      <c r="K511" s="16"/>
      <c r="L511" s="16"/>
      <c r="P511" s="13"/>
      <c r="Q511" s="14"/>
      <c r="R511" s="13"/>
    </row>
    <row r="512" ht="15.75" customHeight="1">
      <c r="C512" s="14"/>
      <c r="D512" s="14"/>
      <c r="G512" s="16"/>
      <c r="H512" s="16"/>
      <c r="I512" s="16"/>
      <c r="J512" s="16"/>
      <c r="K512" s="16"/>
      <c r="L512" s="16"/>
      <c r="P512" s="13"/>
      <c r="Q512" s="14"/>
      <c r="R512" s="13"/>
    </row>
    <row r="513" ht="15.75" customHeight="1">
      <c r="C513" s="14"/>
      <c r="D513" s="14"/>
      <c r="G513" s="16"/>
      <c r="H513" s="16"/>
      <c r="I513" s="16"/>
      <c r="J513" s="16"/>
      <c r="K513" s="16"/>
      <c r="L513" s="16"/>
      <c r="P513" s="13"/>
      <c r="Q513" s="14"/>
      <c r="R513" s="13"/>
    </row>
    <row r="514" ht="15.75" customHeight="1">
      <c r="C514" s="14"/>
      <c r="D514" s="14"/>
      <c r="G514" s="16"/>
      <c r="H514" s="16"/>
      <c r="I514" s="16"/>
      <c r="J514" s="16"/>
      <c r="K514" s="16"/>
      <c r="L514" s="16"/>
      <c r="P514" s="13"/>
      <c r="Q514" s="14"/>
      <c r="R514" s="13"/>
    </row>
    <row r="515" ht="15.75" customHeight="1">
      <c r="C515" s="14"/>
      <c r="D515" s="14"/>
      <c r="G515" s="16"/>
      <c r="H515" s="16"/>
      <c r="I515" s="16"/>
      <c r="J515" s="16"/>
      <c r="K515" s="16"/>
      <c r="L515" s="16"/>
      <c r="P515" s="13"/>
      <c r="Q515" s="14"/>
      <c r="R515" s="13"/>
    </row>
    <row r="516" ht="15.75" customHeight="1">
      <c r="C516" s="14"/>
      <c r="D516" s="14"/>
      <c r="G516" s="16"/>
      <c r="H516" s="16"/>
      <c r="I516" s="16"/>
      <c r="J516" s="16"/>
      <c r="K516" s="16"/>
      <c r="L516" s="16"/>
      <c r="P516" s="13"/>
      <c r="Q516" s="14"/>
      <c r="R516" s="13"/>
    </row>
    <row r="517" ht="15.75" customHeight="1">
      <c r="C517" s="14"/>
      <c r="D517" s="14"/>
      <c r="G517" s="16"/>
      <c r="H517" s="16"/>
      <c r="I517" s="16"/>
      <c r="J517" s="16"/>
      <c r="K517" s="16"/>
      <c r="L517" s="16"/>
      <c r="P517" s="13"/>
      <c r="Q517" s="14"/>
      <c r="R517" s="13"/>
    </row>
    <row r="518" ht="15.75" customHeight="1">
      <c r="C518" s="14"/>
      <c r="D518" s="14"/>
      <c r="G518" s="16"/>
      <c r="H518" s="16"/>
      <c r="I518" s="16"/>
      <c r="J518" s="16"/>
      <c r="K518" s="16"/>
      <c r="L518" s="16"/>
      <c r="P518" s="13"/>
      <c r="Q518" s="14"/>
      <c r="R518" s="13"/>
    </row>
    <row r="519" ht="15.75" customHeight="1">
      <c r="C519" s="14"/>
      <c r="D519" s="14"/>
      <c r="G519" s="16"/>
      <c r="H519" s="16"/>
      <c r="I519" s="16"/>
      <c r="J519" s="16"/>
      <c r="K519" s="16"/>
      <c r="L519" s="16"/>
      <c r="P519" s="13"/>
      <c r="Q519" s="14"/>
      <c r="R519" s="13"/>
    </row>
    <row r="520" ht="15.75" customHeight="1">
      <c r="C520" s="14"/>
      <c r="D520" s="14"/>
      <c r="G520" s="16"/>
      <c r="H520" s="16"/>
      <c r="I520" s="16"/>
      <c r="J520" s="16"/>
      <c r="K520" s="16"/>
      <c r="L520" s="16"/>
      <c r="P520" s="13"/>
      <c r="Q520" s="14"/>
      <c r="R520" s="13"/>
    </row>
    <row r="521" ht="15.75" customHeight="1">
      <c r="C521" s="14"/>
      <c r="D521" s="14"/>
      <c r="G521" s="16"/>
      <c r="H521" s="16"/>
      <c r="I521" s="16"/>
      <c r="J521" s="16"/>
      <c r="K521" s="16"/>
      <c r="L521" s="16"/>
      <c r="P521" s="13"/>
      <c r="Q521" s="14"/>
      <c r="R521" s="13"/>
    </row>
    <row r="522" ht="15.75" customHeight="1">
      <c r="C522" s="14"/>
      <c r="D522" s="14"/>
      <c r="G522" s="16"/>
      <c r="H522" s="16"/>
      <c r="I522" s="16"/>
      <c r="J522" s="16"/>
      <c r="K522" s="16"/>
      <c r="L522" s="16"/>
      <c r="P522" s="13"/>
      <c r="Q522" s="14"/>
      <c r="R522" s="13"/>
    </row>
    <row r="523" ht="15.75" customHeight="1">
      <c r="C523" s="14"/>
      <c r="D523" s="14"/>
      <c r="G523" s="16"/>
      <c r="H523" s="16"/>
      <c r="I523" s="16"/>
      <c r="J523" s="16"/>
      <c r="K523" s="16"/>
      <c r="L523" s="16"/>
      <c r="P523" s="13"/>
      <c r="Q523" s="14"/>
      <c r="R523" s="13"/>
    </row>
    <row r="524" ht="15.75" customHeight="1">
      <c r="C524" s="14"/>
      <c r="D524" s="14"/>
      <c r="G524" s="16"/>
      <c r="H524" s="16"/>
      <c r="I524" s="16"/>
      <c r="J524" s="16"/>
      <c r="K524" s="16"/>
      <c r="L524" s="16"/>
      <c r="P524" s="13"/>
      <c r="Q524" s="14"/>
      <c r="R524" s="13"/>
    </row>
    <row r="525" ht="15.75" customHeight="1">
      <c r="C525" s="14"/>
      <c r="D525" s="14"/>
      <c r="G525" s="16"/>
      <c r="H525" s="16"/>
      <c r="I525" s="16"/>
      <c r="J525" s="16"/>
      <c r="K525" s="16"/>
      <c r="L525" s="16"/>
      <c r="P525" s="13"/>
      <c r="Q525" s="14"/>
      <c r="R525" s="13"/>
    </row>
    <row r="526" ht="15.75" customHeight="1">
      <c r="C526" s="14"/>
      <c r="D526" s="14"/>
      <c r="G526" s="16"/>
      <c r="H526" s="16"/>
      <c r="I526" s="16"/>
      <c r="J526" s="16"/>
      <c r="K526" s="16"/>
      <c r="L526" s="16"/>
      <c r="P526" s="13"/>
      <c r="Q526" s="14"/>
      <c r="R526" s="13"/>
    </row>
    <row r="527" ht="15.75" customHeight="1">
      <c r="C527" s="14"/>
      <c r="D527" s="14"/>
      <c r="G527" s="16"/>
      <c r="H527" s="16"/>
      <c r="I527" s="16"/>
      <c r="J527" s="16"/>
      <c r="K527" s="16"/>
      <c r="L527" s="16"/>
      <c r="P527" s="13"/>
      <c r="Q527" s="14"/>
      <c r="R527" s="13"/>
    </row>
    <row r="528" ht="15.75" customHeight="1">
      <c r="C528" s="14"/>
      <c r="D528" s="14"/>
      <c r="G528" s="16"/>
      <c r="H528" s="16"/>
      <c r="I528" s="16"/>
      <c r="J528" s="16"/>
      <c r="K528" s="16"/>
      <c r="L528" s="16"/>
      <c r="P528" s="13"/>
      <c r="Q528" s="14"/>
      <c r="R528" s="13"/>
    </row>
    <row r="529" ht="15.75" customHeight="1">
      <c r="C529" s="14"/>
      <c r="D529" s="14"/>
      <c r="G529" s="16"/>
      <c r="H529" s="16"/>
      <c r="I529" s="16"/>
      <c r="J529" s="16"/>
      <c r="K529" s="16"/>
      <c r="L529" s="16"/>
      <c r="P529" s="13"/>
      <c r="Q529" s="14"/>
      <c r="R529" s="13"/>
    </row>
    <row r="530" ht="15.75" customHeight="1">
      <c r="C530" s="14"/>
      <c r="D530" s="14"/>
      <c r="G530" s="16"/>
      <c r="H530" s="16"/>
      <c r="I530" s="16"/>
      <c r="J530" s="16"/>
      <c r="K530" s="16"/>
      <c r="L530" s="16"/>
      <c r="P530" s="13"/>
      <c r="Q530" s="14"/>
      <c r="R530" s="13"/>
    </row>
    <row r="531" ht="15.75" customHeight="1">
      <c r="C531" s="14"/>
      <c r="D531" s="14"/>
      <c r="G531" s="16"/>
      <c r="H531" s="16"/>
      <c r="I531" s="16"/>
      <c r="J531" s="16"/>
      <c r="K531" s="16"/>
      <c r="L531" s="16"/>
      <c r="P531" s="13"/>
      <c r="Q531" s="14"/>
      <c r="R531" s="13"/>
    </row>
    <row r="532" ht="15.75" customHeight="1">
      <c r="C532" s="14"/>
      <c r="D532" s="14"/>
      <c r="G532" s="16"/>
      <c r="H532" s="16"/>
      <c r="I532" s="16"/>
      <c r="J532" s="16"/>
      <c r="K532" s="16"/>
      <c r="L532" s="16"/>
      <c r="P532" s="13"/>
      <c r="Q532" s="14"/>
      <c r="R532" s="13"/>
    </row>
    <row r="533" ht="15.75" customHeight="1">
      <c r="C533" s="14"/>
      <c r="D533" s="14"/>
      <c r="G533" s="16"/>
      <c r="H533" s="16"/>
      <c r="I533" s="16"/>
      <c r="J533" s="16"/>
      <c r="K533" s="16"/>
      <c r="L533" s="16"/>
      <c r="P533" s="13"/>
      <c r="Q533" s="14"/>
      <c r="R533" s="13"/>
    </row>
    <row r="534" ht="15.75" customHeight="1">
      <c r="C534" s="14"/>
      <c r="D534" s="14"/>
      <c r="G534" s="16"/>
      <c r="H534" s="16"/>
      <c r="I534" s="16"/>
      <c r="J534" s="16"/>
      <c r="K534" s="16"/>
      <c r="L534" s="16"/>
      <c r="P534" s="13"/>
      <c r="Q534" s="14"/>
      <c r="R534" s="13"/>
    </row>
    <row r="535" ht="15.75" customHeight="1">
      <c r="C535" s="14"/>
      <c r="D535" s="14"/>
      <c r="G535" s="16"/>
      <c r="H535" s="16"/>
      <c r="I535" s="16"/>
      <c r="J535" s="16"/>
      <c r="K535" s="16"/>
      <c r="L535" s="16"/>
      <c r="P535" s="13"/>
      <c r="Q535" s="14"/>
      <c r="R535" s="13"/>
    </row>
    <row r="536" ht="15.75" customHeight="1">
      <c r="C536" s="14"/>
      <c r="D536" s="14"/>
      <c r="G536" s="16"/>
      <c r="H536" s="16"/>
      <c r="I536" s="16"/>
      <c r="J536" s="16"/>
      <c r="K536" s="16"/>
      <c r="L536" s="16"/>
      <c r="P536" s="13"/>
      <c r="Q536" s="14"/>
      <c r="R536" s="13"/>
    </row>
    <row r="537" ht="15.75" customHeight="1">
      <c r="C537" s="14"/>
      <c r="D537" s="14"/>
      <c r="G537" s="16"/>
      <c r="H537" s="16"/>
      <c r="I537" s="16"/>
      <c r="J537" s="16"/>
      <c r="K537" s="16"/>
      <c r="L537" s="16"/>
      <c r="P537" s="13"/>
      <c r="Q537" s="14"/>
      <c r="R537" s="13"/>
    </row>
    <row r="538" ht="15.75" customHeight="1">
      <c r="C538" s="14"/>
      <c r="D538" s="14"/>
      <c r="G538" s="16"/>
      <c r="H538" s="16"/>
      <c r="I538" s="16"/>
      <c r="J538" s="16"/>
      <c r="K538" s="16"/>
      <c r="L538" s="16"/>
      <c r="P538" s="13"/>
      <c r="Q538" s="14"/>
      <c r="R538" s="13"/>
    </row>
    <row r="539" ht="15.75" customHeight="1">
      <c r="C539" s="14"/>
      <c r="D539" s="14"/>
      <c r="G539" s="16"/>
      <c r="H539" s="16"/>
      <c r="I539" s="16"/>
      <c r="J539" s="16"/>
      <c r="K539" s="16"/>
      <c r="L539" s="16"/>
      <c r="P539" s="13"/>
      <c r="Q539" s="14"/>
      <c r="R539" s="13"/>
    </row>
    <row r="540" ht="15.75" customHeight="1">
      <c r="C540" s="14"/>
      <c r="D540" s="14"/>
      <c r="G540" s="16"/>
      <c r="H540" s="16"/>
      <c r="I540" s="16"/>
      <c r="J540" s="16"/>
      <c r="K540" s="16"/>
      <c r="L540" s="16"/>
      <c r="P540" s="13"/>
      <c r="Q540" s="14"/>
      <c r="R540" s="13"/>
    </row>
    <row r="541" ht="15.75" customHeight="1">
      <c r="C541" s="14"/>
      <c r="D541" s="14"/>
      <c r="G541" s="16"/>
      <c r="H541" s="16"/>
      <c r="I541" s="16"/>
      <c r="J541" s="16"/>
      <c r="K541" s="16"/>
      <c r="L541" s="16"/>
      <c r="P541" s="13"/>
      <c r="Q541" s="14"/>
      <c r="R541" s="13"/>
    </row>
    <row r="542" ht="15.75" customHeight="1">
      <c r="C542" s="14"/>
      <c r="D542" s="14"/>
      <c r="G542" s="16"/>
      <c r="H542" s="16"/>
      <c r="I542" s="16"/>
      <c r="J542" s="16"/>
      <c r="K542" s="16"/>
      <c r="L542" s="16"/>
      <c r="P542" s="13"/>
      <c r="Q542" s="14"/>
      <c r="R542" s="13"/>
    </row>
    <row r="543" ht="15.75" customHeight="1">
      <c r="C543" s="14"/>
      <c r="D543" s="14"/>
      <c r="G543" s="16"/>
      <c r="H543" s="16"/>
      <c r="I543" s="16"/>
      <c r="J543" s="16"/>
      <c r="K543" s="16"/>
      <c r="L543" s="16"/>
      <c r="P543" s="13"/>
      <c r="Q543" s="14"/>
      <c r="R543" s="13"/>
    </row>
    <row r="544" ht="15.75" customHeight="1">
      <c r="C544" s="14"/>
      <c r="D544" s="14"/>
      <c r="G544" s="16"/>
      <c r="H544" s="16"/>
      <c r="I544" s="16"/>
      <c r="J544" s="16"/>
      <c r="K544" s="16"/>
      <c r="L544" s="16"/>
      <c r="P544" s="13"/>
      <c r="Q544" s="14"/>
      <c r="R544" s="13"/>
    </row>
    <row r="545" ht="15.75" customHeight="1">
      <c r="C545" s="14"/>
      <c r="D545" s="14"/>
      <c r="G545" s="16"/>
      <c r="H545" s="16"/>
      <c r="I545" s="16"/>
      <c r="J545" s="16"/>
      <c r="K545" s="16"/>
      <c r="L545" s="16"/>
      <c r="P545" s="13"/>
      <c r="Q545" s="14"/>
      <c r="R545" s="13"/>
    </row>
    <row r="546" ht="15.75" customHeight="1">
      <c r="C546" s="14"/>
      <c r="D546" s="14"/>
      <c r="G546" s="16"/>
      <c r="H546" s="16"/>
      <c r="I546" s="16"/>
      <c r="J546" s="16"/>
      <c r="K546" s="16"/>
      <c r="L546" s="16"/>
      <c r="P546" s="13"/>
      <c r="Q546" s="14"/>
      <c r="R546" s="13"/>
    </row>
    <row r="547" ht="15.75" customHeight="1">
      <c r="C547" s="14"/>
      <c r="D547" s="14"/>
      <c r="G547" s="16"/>
      <c r="H547" s="16"/>
      <c r="I547" s="16"/>
      <c r="J547" s="16"/>
      <c r="K547" s="16"/>
      <c r="L547" s="16"/>
      <c r="P547" s="13"/>
      <c r="Q547" s="14"/>
      <c r="R547" s="13"/>
    </row>
    <row r="548" ht="15.75" customHeight="1">
      <c r="C548" s="14"/>
      <c r="D548" s="14"/>
      <c r="G548" s="16"/>
      <c r="H548" s="16"/>
      <c r="I548" s="16"/>
      <c r="J548" s="16"/>
      <c r="K548" s="16"/>
      <c r="L548" s="16"/>
      <c r="P548" s="13"/>
      <c r="Q548" s="14"/>
      <c r="R548" s="13"/>
    </row>
    <row r="549" ht="15.75" customHeight="1">
      <c r="C549" s="14"/>
      <c r="D549" s="14"/>
      <c r="G549" s="16"/>
      <c r="H549" s="16"/>
      <c r="I549" s="16"/>
      <c r="J549" s="16"/>
      <c r="K549" s="16"/>
      <c r="L549" s="16"/>
      <c r="P549" s="13"/>
      <c r="Q549" s="14"/>
      <c r="R549" s="13"/>
    </row>
    <row r="550" ht="15.75" customHeight="1">
      <c r="C550" s="14"/>
      <c r="D550" s="14"/>
      <c r="G550" s="16"/>
      <c r="H550" s="16"/>
      <c r="I550" s="16"/>
      <c r="J550" s="16"/>
      <c r="K550" s="16"/>
      <c r="L550" s="16"/>
      <c r="P550" s="13"/>
      <c r="Q550" s="14"/>
      <c r="R550" s="13"/>
    </row>
    <row r="551" ht="15.75" customHeight="1">
      <c r="C551" s="14"/>
      <c r="D551" s="14"/>
      <c r="G551" s="16"/>
      <c r="H551" s="16"/>
      <c r="I551" s="16"/>
      <c r="J551" s="16"/>
      <c r="K551" s="16"/>
      <c r="L551" s="16"/>
      <c r="P551" s="13"/>
      <c r="Q551" s="14"/>
      <c r="R551" s="13"/>
    </row>
    <row r="552" ht="15.75" customHeight="1">
      <c r="C552" s="14"/>
      <c r="D552" s="14"/>
      <c r="G552" s="16"/>
      <c r="H552" s="16"/>
      <c r="I552" s="16"/>
      <c r="J552" s="16"/>
      <c r="K552" s="16"/>
      <c r="L552" s="16"/>
      <c r="P552" s="13"/>
      <c r="Q552" s="14"/>
      <c r="R552" s="13"/>
    </row>
    <row r="553" ht="15.75" customHeight="1">
      <c r="C553" s="14"/>
      <c r="D553" s="14"/>
      <c r="G553" s="16"/>
      <c r="H553" s="16"/>
      <c r="I553" s="16"/>
      <c r="J553" s="16"/>
      <c r="K553" s="16"/>
      <c r="L553" s="16"/>
      <c r="P553" s="13"/>
      <c r="Q553" s="14"/>
      <c r="R553" s="13"/>
    </row>
    <row r="554" ht="15.75" customHeight="1">
      <c r="C554" s="14"/>
      <c r="D554" s="14"/>
      <c r="G554" s="16"/>
      <c r="H554" s="16"/>
      <c r="I554" s="16"/>
      <c r="J554" s="16"/>
      <c r="K554" s="16"/>
      <c r="L554" s="16"/>
      <c r="P554" s="13"/>
      <c r="Q554" s="14"/>
      <c r="R554" s="13"/>
    </row>
    <row r="555" ht="15.75" customHeight="1">
      <c r="C555" s="14"/>
      <c r="D555" s="14"/>
      <c r="G555" s="16"/>
      <c r="H555" s="16"/>
      <c r="I555" s="16"/>
      <c r="J555" s="16"/>
      <c r="K555" s="16"/>
      <c r="L555" s="16"/>
      <c r="P555" s="13"/>
      <c r="Q555" s="14"/>
      <c r="R555" s="13"/>
    </row>
    <row r="556" ht="15.75" customHeight="1">
      <c r="C556" s="14"/>
      <c r="D556" s="14"/>
      <c r="G556" s="16"/>
      <c r="H556" s="16"/>
      <c r="I556" s="16"/>
      <c r="J556" s="16"/>
      <c r="K556" s="16"/>
      <c r="L556" s="16"/>
      <c r="P556" s="13"/>
      <c r="Q556" s="14"/>
      <c r="R556" s="13"/>
    </row>
    <row r="557" ht="15.75" customHeight="1">
      <c r="C557" s="14"/>
      <c r="D557" s="14"/>
      <c r="G557" s="16"/>
      <c r="H557" s="16"/>
      <c r="I557" s="16"/>
      <c r="J557" s="16"/>
      <c r="K557" s="16"/>
      <c r="L557" s="16"/>
      <c r="P557" s="13"/>
      <c r="Q557" s="14"/>
      <c r="R557" s="13"/>
    </row>
    <row r="558" ht="15.75" customHeight="1">
      <c r="C558" s="14"/>
      <c r="D558" s="14"/>
      <c r="G558" s="16"/>
      <c r="H558" s="16"/>
      <c r="I558" s="16"/>
      <c r="J558" s="16"/>
      <c r="K558" s="16"/>
      <c r="L558" s="16"/>
      <c r="P558" s="13"/>
      <c r="Q558" s="14"/>
      <c r="R558" s="13"/>
    </row>
    <row r="559" ht="15.75" customHeight="1">
      <c r="C559" s="14"/>
      <c r="D559" s="14"/>
      <c r="G559" s="16"/>
      <c r="H559" s="16"/>
      <c r="I559" s="16"/>
      <c r="J559" s="16"/>
      <c r="K559" s="16"/>
      <c r="L559" s="16"/>
      <c r="P559" s="13"/>
      <c r="Q559" s="14"/>
      <c r="R559" s="13"/>
    </row>
    <row r="560" ht="15.75" customHeight="1">
      <c r="C560" s="14"/>
      <c r="D560" s="14"/>
      <c r="G560" s="16"/>
      <c r="H560" s="16"/>
      <c r="I560" s="16"/>
      <c r="J560" s="16"/>
      <c r="K560" s="16"/>
      <c r="L560" s="16"/>
      <c r="P560" s="13"/>
      <c r="Q560" s="14"/>
      <c r="R560" s="13"/>
    </row>
    <row r="561" ht="15.75" customHeight="1">
      <c r="C561" s="14"/>
      <c r="D561" s="14"/>
      <c r="G561" s="16"/>
      <c r="H561" s="16"/>
      <c r="I561" s="16"/>
      <c r="J561" s="16"/>
      <c r="K561" s="16"/>
      <c r="L561" s="16"/>
      <c r="P561" s="13"/>
      <c r="Q561" s="14"/>
      <c r="R561" s="13"/>
    </row>
    <row r="562" ht="15.75" customHeight="1">
      <c r="C562" s="14"/>
      <c r="D562" s="14"/>
      <c r="G562" s="16"/>
      <c r="H562" s="16"/>
      <c r="I562" s="16"/>
      <c r="J562" s="16"/>
      <c r="K562" s="16"/>
      <c r="L562" s="16"/>
      <c r="P562" s="13"/>
      <c r="Q562" s="14"/>
      <c r="R562" s="13"/>
    </row>
    <row r="563" ht="15.75" customHeight="1">
      <c r="C563" s="14"/>
      <c r="D563" s="14"/>
      <c r="G563" s="16"/>
      <c r="H563" s="16"/>
      <c r="I563" s="16"/>
      <c r="J563" s="16"/>
      <c r="K563" s="16"/>
      <c r="L563" s="16"/>
      <c r="P563" s="13"/>
      <c r="Q563" s="14"/>
      <c r="R563" s="13"/>
    </row>
    <row r="564" ht="15.75" customHeight="1">
      <c r="C564" s="14"/>
      <c r="D564" s="14"/>
      <c r="G564" s="16"/>
      <c r="H564" s="16"/>
      <c r="I564" s="16"/>
      <c r="J564" s="16"/>
      <c r="K564" s="16"/>
      <c r="L564" s="16"/>
      <c r="P564" s="13"/>
      <c r="Q564" s="14"/>
      <c r="R564" s="13"/>
    </row>
    <row r="565" ht="15.75" customHeight="1">
      <c r="C565" s="14"/>
      <c r="D565" s="14"/>
      <c r="G565" s="16"/>
      <c r="H565" s="16"/>
      <c r="I565" s="16"/>
      <c r="J565" s="16"/>
      <c r="K565" s="16"/>
      <c r="L565" s="16"/>
      <c r="P565" s="13"/>
      <c r="Q565" s="14"/>
      <c r="R565" s="13"/>
    </row>
    <row r="566" ht="15.75" customHeight="1">
      <c r="C566" s="14"/>
      <c r="D566" s="14"/>
      <c r="G566" s="16"/>
      <c r="H566" s="16"/>
      <c r="I566" s="16"/>
      <c r="J566" s="16"/>
      <c r="K566" s="16"/>
      <c r="L566" s="16"/>
      <c r="P566" s="13"/>
      <c r="Q566" s="14"/>
      <c r="R566" s="13"/>
    </row>
    <row r="567" ht="15.75" customHeight="1">
      <c r="C567" s="14"/>
      <c r="D567" s="14"/>
      <c r="G567" s="16"/>
      <c r="H567" s="16"/>
      <c r="I567" s="16"/>
      <c r="J567" s="16"/>
      <c r="K567" s="16"/>
      <c r="L567" s="16"/>
      <c r="P567" s="13"/>
      <c r="Q567" s="14"/>
      <c r="R567" s="13"/>
    </row>
    <row r="568" ht="15.75" customHeight="1">
      <c r="C568" s="14"/>
      <c r="D568" s="14"/>
      <c r="G568" s="16"/>
      <c r="H568" s="16"/>
      <c r="I568" s="16"/>
      <c r="J568" s="16"/>
      <c r="K568" s="16"/>
      <c r="L568" s="16"/>
      <c r="P568" s="13"/>
      <c r="Q568" s="14"/>
      <c r="R568" s="13"/>
    </row>
    <row r="569" ht="15.75" customHeight="1">
      <c r="C569" s="14"/>
      <c r="D569" s="14"/>
      <c r="G569" s="16"/>
      <c r="H569" s="16"/>
      <c r="I569" s="16"/>
      <c r="J569" s="16"/>
      <c r="K569" s="16"/>
      <c r="L569" s="16"/>
      <c r="P569" s="13"/>
      <c r="Q569" s="14"/>
      <c r="R569" s="13"/>
    </row>
    <row r="570" ht="15.75" customHeight="1">
      <c r="C570" s="14"/>
      <c r="D570" s="14"/>
      <c r="G570" s="16"/>
      <c r="H570" s="16"/>
      <c r="I570" s="16"/>
      <c r="J570" s="16"/>
      <c r="K570" s="16"/>
      <c r="L570" s="16"/>
      <c r="P570" s="13"/>
      <c r="Q570" s="14"/>
      <c r="R570" s="13"/>
    </row>
    <row r="571" ht="15.75" customHeight="1">
      <c r="C571" s="14"/>
      <c r="D571" s="14"/>
      <c r="G571" s="16"/>
      <c r="H571" s="16"/>
      <c r="I571" s="16"/>
      <c r="J571" s="16"/>
      <c r="K571" s="16"/>
      <c r="L571" s="16"/>
      <c r="P571" s="13"/>
      <c r="Q571" s="14"/>
      <c r="R571" s="13"/>
    </row>
    <row r="572" ht="15.75" customHeight="1">
      <c r="C572" s="14"/>
      <c r="D572" s="14"/>
      <c r="G572" s="16"/>
      <c r="H572" s="16"/>
      <c r="I572" s="16"/>
      <c r="J572" s="16"/>
      <c r="K572" s="16"/>
      <c r="L572" s="16"/>
      <c r="P572" s="13"/>
      <c r="Q572" s="14"/>
      <c r="R572" s="13"/>
    </row>
    <row r="573" ht="15.75" customHeight="1">
      <c r="C573" s="14"/>
      <c r="D573" s="14"/>
      <c r="G573" s="16"/>
      <c r="H573" s="16"/>
      <c r="I573" s="16"/>
      <c r="J573" s="16"/>
      <c r="K573" s="16"/>
      <c r="L573" s="16"/>
      <c r="P573" s="13"/>
      <c r="Q573" s="14"/>
      <c r="R573" s="13"/>
    </row>
    <row r="574" ht="15.75" customHeight="1">
      <c r="C574" s="14"/>
      <c r="D574" s="14"/>
      <c r="G574" s="16"/>
      <c r="H574" s="16"/>
      <c r="I574" s="16"/>
      <c r="J574" s="16"/>
      <c r="K574" s="16"/>
      <c r="L574" s="16"/>
      <c r="P574" s="13"/>
      <c r="Q574" s="14"/>
      <c r="R574" s="13"/>
    </row>
    <row r="575" ht="15.75" customHeight="1">
      <c r="C575" s="14"/>
      <c r="D575" s="14"/>
      <c r="G575" s="16"/>
      <c r="H575" s="16"/>
      <c r="I575" s="16"/>
      <c r="J575" s="16"/>
      <c r="K575" s="16"/>
      <c r="L575" s="16"/>
      <c r="P575" s="13"/>
      <c r="Q575" s="14"/>
      <c r="R575" s="13"/>
    </row>
    <row r="576" ht="15.75" customHeight="1">
      <c r="C576" s="14"/>
      <c r="D576" s="14"/>
      <c r="G576" s="16"/>
      <c r="H576" s="16"/>
      <c r="I576" s="16"/>
      <c r="J576" s="16"/>
      <c r="K576" s="16"/>
      <c r="L576" s="16"/>
      <c r="P576" s="13"/>
      <c r="Q576" s="14"/>
      <c r="R576" s="13"/>
    </row>
    <row r="577" ht="15.75" customHeight="1">
      <c r="C577" s="14"/>
      <c r="D577" s="14"/>
      <c r="G577" s="16"/>
      <c r="H577" s="16"/>
      <c r="I577" s="16"/>
      <c r="J577" s="16"/>
      <c r="K577" s="16"/>
      <c r="L577" s="16"/>
      <c r="P577" s="13"/>
      <c r="Q577" s="14"/>
      <c r="R577" s="13"/>
    </row>
    <row r="578" ht="15.75" customHeight="1">
      <c r="C578" s="14"/>
      <c r="D578" s="14"/>
      <c r="G578" s="16"/>
      <c r="H578" s="16"/>
      <c r="I578" s="16"/>
      <c r="J578" s="16"/>
      <c r="K578" s="16"/>
      <c r="L578" s="16"/>
      <c r="P578" s="13"/>
      <c r="Q578" s="14"/>
      <c r="R578" s="13"/>
    </row>
    <row r="579" ht="15.75" customHeight="1">
      <c r="C579" s="14"/>
      <c r="D579" s="14"/>
      <c r="G579" s="16"/>
      <c r="H579" s="16"/>
      <c r="I579" s="16"/>
      <c r="J579" s="16"/>
      <c r="K579" s="16"/>
      <c r="L579" s="16"/>
      <c r="P579" s="13"/>
      <c r="Q579" s="14"/>
      <c r="R579" s="13"/>
    </row>
    <row r="580" ht="15.75" customHeight="1">
      <c r="C580" s="14"/>
      <c r="D580" s="14"/>
      <c r="G580" s="16"/>
      <c r="H580" s="16"/>
      <c r="I580" s="16"/>
      <c r="J580" s="16"/>
      <c r="K580" s="16"/>
      <c r="L580" s="16"/>
      <c r="P580" s="13"/>
      <c r="Q580" s="14"/>
      <c r="R580" s="13"/>
    </row>
    <row r="581" ht="15.75" customHeight="1">
      <c r="C581" s="14"/>
      <c r="D581" s="14"/>
      <c r="G581" s="16"/>
      <c r="H581" s="16"/>
      <c r="I581" s="16"/>
      <c r="J581" s="16"/>
      <c r="K581" s="16"/>
      <c r="L581" s="16"/>
      <c r="P581" s="13"/>
      <c r="Q581" s="14"/>
      <c r="R581" s="13"/>
    </row>
    <row r="582" ht="15.75" customHeight="1">
      <c r="C582" s="14"/>
      <c r="D582" s="14"/>
      <c r="G582" s="16"/>
      <c r="H582" s="16"/>
      <c r="I582" s="16"/>
      <c r="J582" s="16"/>
      <c r="K582" s="16"/>
      <c r="L582" s="16"/>
      <c r="P582" s="13"/>
      <c r="Q582" s="14"/>
      <c r="R582" s="13"/>
    </row>
    <row r="583" ht="15.75" customHeight="1">
      <c r="C583" s="14"/>
      <c r="D583" s="14"/>
      <c r="G583" s="16"/>
      <c r="H583" s="16"/>
      <c r="I583" s="16"/>
      <c r="J583" s="16"/>
      <c r="K583" s="16"/>
      <c r="L583" s="16"/>
      <c r="P583" s="13"/>
      <c r="Q583" s="14"/>
      <c r="R583" s="13"/>
    </row>
    <row r="584" ht="15.75" customHeight="1">
      <c r="C584" s="14"/>
      <c r="D584" s="14"/>
      <c r="G584" s="16"/>
      <c r="H584" s="16"/>
      <c r="I584" s="16"/>
      <c r="J584" s="16"/>
      <c r="K584" s="16"/>
      <c r="L584" s="16"/>
      <c r="P584" s="13"/>
      <c r="Q584" s="14"/>
      <c r="R584" s="13"/>
    </row>
    <row r="585" ht="15.75" customHeight="1">
      <c r="C585" s="14"/>
      <c r="D585" s="14"/>
      <c r="G585" s="16"/>
      <c r="H585" s="16"/>
      <c r="I585" s="16"/>
      <c r="J585" s="16"/>
      <c r="K585" s="16"/>
      <c r="L585" s="16"/>
      <c r="P585" s="13"/>
      <c r="Q585" s="14"/>
      <c r="R585" s="13"/>
    </row>
    <row r="586" ht="15.75" customHeight="1">
      <c r="C586" s="14"/>
      <c r="D586" s="14"/>
      <c r="G586" s="16"/>
      <c r="H586" s="16"/>
      <c r="I586" s="16"/>
      <c r="J586" s="16"/>
      <c r="K586" s="16"/>
      <c r="L586" s="16"/>
      <c r="P586" s="13"/>
      <c r="Q586" s="14"/>
      <c r="R586" s="13"/>
    </row>
    <row r="587" ht="15.75" customHeight="1">
      <c r="C587" s="14"/>
      <c r="D587" s="14"/>
      <c r="G587" s="16"/>
      <c r="H587" s="16"/>
      <c r="I587" s="16"/>
      <c r="J587" s="16"/>
      <c r="K587" s="16"/>
      <c r="L587" s="16"/>
      <c r="P587" s="13"/>
      <c r="Q587" s="14"/>
      <c r="R587" s="13"/>
    </row>
    <row r="588" ht="15.75" customHeight="1">
      <c r="C588" s="14"/>
      <c r="D588" s="14"/>
      <c r="G588" s="16"/>
      <c r="H588" s="16"/>
      <c r="I588" s="16"/>
      <c r="J588" s="16"/>
      <c r="K588" s="16"/>
      <c r="L588" s="16"/>
      <c r="P588" s="13"/>
      <c r="Q588" s="14"/>
      <c r="R588" s="13"/>
    </row>
    <row r="589" ht="15.75" customHeight="1">
      <c r="C589" s="14"/>
      <c r="D589" s="14"/>
      <c r="G589" s="16"/>
      <c r="H589" s="16"/>
      <c r="I589" s="16"/>
      <c r="J589" s="16"/>
      <c r="K589" s="16"/>
      <c r="L589" s="16"/>
      <c r="P589" s="13"/>
      <c r="Q589" s="14"/>
      <c r="R589" s="13"/>
    </row>
    <row r="590" ht="15.75" customHeight="1">
      <c r="C590" s="14"/>
      <c r="D590" s="14"/>
      <c r="G590" s="16"/>
      <c r="H590" s="16"/>
      <c r="I590" s="16"/>
      <c r="J590" s="16"/>
      <c r="K590" s="16"/>
      <c r="L590" s="16"/>
      <c r="P590" s="13"/>
      <c r="Q590" s="14"/>
      <c r="R590" s="13"/>
    </row>
    <row r="591" ht="15.75" customHeight="1">
      <c r="C591" s="14"/>
      <c r="D591" s="14"/>
      <c r="G591" s="16"/>
      <c r="H591" s="16"/>
      <c r="I591" s="16"/>
      <c r="J591" s="16"/>
      <c r="K591" s="16"/>
      <c r="L591" s="16"/>
      <c r="P591" s="13"/>
      <c r="Q591" s="14"/>
      <c r="R591" s="13"/>
    </row>
    <row r="592" ht="15.75" customHeight="1">
      <c r="C592" s="14"/>
      <c r="D592" s="14"/>
      <c r="G592" s="16"/>
      <c r="H592" s="16"/>
      <c r="I592" s="16"/>
      <c r="J592" s="16"/>
      <c r="K592" s="16"/>
      <c r="L592" s="16"/>
      <c r="P592" s="13"/>
      <c r="Q592" s="14"/>
      <c r="R592" s="13"/>
    </row>
    <row r="593" ht="15.75" customHeight="1">
      <c r="C593" s="14"/>
      <c r="D593" s="14"/>
      <c r="G593" s="16"/>
      <c r="H593" s="16"/>
      <c r="I593" s="16"/>
      <c r="J593" s="16"/>
      <c r="K593" s="16"/>
      <c r="L593" s="16"/>
      <c r="P593" s="13"/>
      <c r="Q593" s="14"/>
      <c r="R593" s="13"/>
    </row>
    <row r="594" ht="15.75" customHeight="1">
      <c r="C594" s="14"/>
      <c r="D594" s="14"/>
      <c r="G594" s="16"/>
      <c r="H594" s="16"/>
      <c r="I594" s="16"/>
      <c r="J594" s="16"/>
      <c r="K594" s="16"/>
      <c r="L594" s="16"/>
      <c r="P594" s="13"/>
      <c r="Q594" s="14"/>
      <c r="R594" s="13"/>
    </row>
    <row r="595" ht="15.75" customHeight="1">
      <c r="C595" s="14"/>
      <c r="D595" s="14"/>
      <c r="G595" s="16"/>
      <c r="H595" s="16"/>
      <c r="I595" s="16"/>
      <c r="J595" s="16"/>
      <c r="K595" s="16"/>
      <c r="L595" s="16"/>
      <c r="P595" s="13"/>
      <c r="Q595" s="14"/>
      <c r="R595" s="13"/>
    </row>
    <row r="596" ht="15.75" customHeight="1">
      <c r="C596" s="14"/>
      <c r="D596" s="14"/>
      <c r="G596" s="16"/>
      <c r="H596" s="16"/>
      <c r="I596" s="16"/>
      <c r="J596" s="16"/>
      <c r="K596" s="16"/>
      <c r="L596" s="16"/>
      <c r="P596" s="13"/>
      <c r="Q596" s="14"/>
      <c r="R596" s="13"/>
    </row>
    <row r="597" ht="15.75" customHeight="1">
      <c r="C597" s="14"/>
      <c r="D597" s="14"/>
      <c r="G597" s="16"/>
      <c r="H597" s="16"/>
      <c r="I597" s="16"/>
      <c r="J597" s="16"/>
      <c r="K597" s="16"/>
      <c r="L597" s="16"/>
      <c r="P597" s="13"/>
      <c r="Q597" s="14"/>
      <c r="R597" s="13"/>
    </row>
    <row r="598" ht="15.75" customHeight="1">
      <c r="C598" s="14"/>
      <c r="D598" s="14"/>
      <c r="G598" s="16"/>
      <c r="H598" s="16"/>
      <c r="I598" s="16"/>
      <c r="J598" s="16"/>
      <c r="K598" s="16"/>
      <c r="L598" s="16"/>
      <c r="P598" s="13"/>
      <c r="Q598" s="14"/>
      <c r="R598" s="13"/>
    </row>
    <row r="599" ht="15.75" customHeight="1">
      <c r="C599" s="14"/>
      <c r="D599" s="14"/>
      <c r="G599" s="16"/>
      <c r="H599" s="16"/>
      <c r="I599" s="16"/>
      <c r="J599" s="16"/>
      <c r="K599" s="16"/>
      <c r="L599" s="16"/>
      <c r="P599" s="13"/>
      <c r="Q599" s="14"/>
      <c r="R599" s="13"/>
    </row>
    <row r="600" ht="15.75" customHeight="1">
      <c r="C600" s="14"/>
      <c r="D600" s="14"/>
      <c r="G600" s="16"/>
      <c r="H600" s="16"/>
      <c r="I600" s="16"/>
      <c r="J600" s="16"/>
      <c r="K600" s="16"/>
      <c r="L600" s="16"/>
      <c r="P600" s="13"/>
      <c r="Q600" s="14"/>
      <c r="R600" s="13"/>
    </row>
    <row r="601" ht="15.75" customHeight="1">
      <c r="C601" s="14"/>
      <c r="D601" s="14"/>
      <c r="G601" s="16"/>
      <c r="H601" s="16"/>
      <c r="I601" s="16"/>
      <c r="J601" s="16"/>
      <c r="K601" s="16"/>
      <c r="L601" s="16"/>
      <c r="P601" s="13"/>
      <c r="Q601" s="14"/>
      <c r="R601" s="13"/>
    </row>
    <row r="602" ht="15.75" customHeight="1">
      <c r="C602" s="14"/>
      <c r="D602" s="14"/>
      <c r="G602" s="16"/>
      <c r="H602" s="16"/>
      <c r="I602" s="16"/>
      <c r="J602" s="16"/>
      <c r="K602" s="16"/>
      <c r="L602" s="16"/>
      <c r="P602" s="13"/>
      <c r="Q602" s="14"/>
      <c r="R602" s="13"/>
    </row>
    <row r="603" ht="15.75" customHeight="1">
      <c r="C603" s="14"/>
      <c r="D603" s="14"/>
      <c r="G603" s="16"/>
      <c r="H603" s="16"/>
      <c r="I603" s="16"/>
      <c r="J603" s="16"/>
      <c r="K603" s="16"/>
      <c r="L603" s="16"/>
      <c r="P603" s="13"/>
      <c r="Q603" s="14"/>
      <c r="R603" s="13"/>
    </row>
    <row r="604" ht="15.75" customHeight="1">
      <c r="C604" s="14"/>
      <c r="D604" s="14"/>
      <c r="G604" s="16"/>
      <c r="H604" s="16"/>
      <c r="I604" s="16"/>
      <c r="J604" s="16"/>
      <c r="K604" s="16"/>
      <c r="L604" s="16"/>
      <c r="P604" s="13"/>
      <c r="Q604" s="14"/>
      <c r="R604" s="13"/>
    </row>
    <row r="605" ht="15.75" customHeight="1">
      <c r="C605" s="14"/>
      <c r="D605" s="14"/>
      <c r="G605" s="16"/>
      <c r="H605" s="16"/>
      <c r="I605" s="16"/>
      <c r="J605" s="16"/>
      <c r="K605" s="16"/>
      <c r="L605" s="16"/>
      <c r="P605" s="13"/>
      <c r="Q605" s="14"/>
      <c r="R605" s="13"/>
    </row>
    <row r="606" ht="15.75" customHeight="1">
      <c r="C606" s="14"/>
      <c r="D606" s="14"/>
      <c r="G606" s="16"/>
      <c r="H606" s="16"/>
      <c r="I606" s="16"/>
      <c r="J606" s="16"/>
      <c r="K606" s="16"/>
      <c r="L606" s="16"/>
      <c r="P606" s="13"/>
      <c r="Q606" s="14"/>
      <c r="R606" s="13"/>
    </row>
    <row r="607" ht="15.75" customHeight="1">
      <c r="C607" s="14"/>
      <c r="D607" s="14"/>
      <c r="G607" s="16"/>
      <c r="H607" s="16"/>
      <c r="I607" s="16"/>
      <c r="J607" s="16"/>
      <c r="K607" s="16"/>
      <c r="L607" s="16"/>
      <c r="P607" s="13"/>
      <c r="Q607" s="14"/>
      <c r="R607" s="13"/>
    </row>
    <row r="608" ht="15.75" customHeight="1">
      <c r="C608" s="14"/>
      <c r="D608" s="14"/>
      <c r="G608" s="16"/>
      <c r="H608" s="16"/>
      <c r="I608" s="16"/>
      <c r="J608" s="16"/>
      <c r="K608" s="16"/>
      <c r="L608" s="16"/>
      <c r="P608" s="13"/>
      <c r="Q608" s="14"/>
      <c r="R608" s="13"/>
    </row>
    <row r="609" ht="15.75" customHeight="1">
      <c r="C609" s="14"/>
      <c r="D609" s="14"/>
      <c r="G609" s="16"/>
      <c r="H609" s="16"/>
      <c r="I609" s="16"/>
      <c r="J609" s="16"/>
      <c r="K609" s="16"/>
      <c r="L609" s="16"/>
      <c r="P609" s="13"/>
      <c r="Q609" s="14"/>
      <c r="R609" s="13"/>
    </row>
    <row r="610" ht="15.75" customHeight="1">
      <c r="C610" s="14"/>
      <c r="D610" s="14"/>
      <c r="G610" s="16"/>
      <c r="H610" s="16"/>
      <c r="I610" s="16"/>
      <c r="J610" s="16"/>
      <c r="K610" s="16"/>
      <c r="L610" s="16"/>
      <c r="P610" s="13"/>
      <c r="Q610" s="14"/>
      <c r="R610" s="13"/>
    </row>
    <row r="611" ht="15.75" customHeight="1">
      <c r="C611" s="14"/>
      <c r="D611" s="14"/>
      <c r="G611" s="16"/>
      <c r="H611" s="16"/>
      <c r="I611" s="16"/>
      <c r="J611" s="16"/>
      <c r="K611" s="16"/>
      <c r="L611" s="16"/>
      <c r="P611" s="13"/>
      <c r="Q611" s="14"/>
      <c r="R611" s="13"/>
    </row>
    <row r="612" ht="15.75" customHeight="1">
      <c r="C612" s="14"/>
      <c r="D612" s="14"/>
      <c r="G612" s="16"/>
      <c r="H612" s="16"/>
      <c r="I612" s="16"/>
      <c r="J612" s="16"/>
      <c r="K612" s="16"/>
      <c r="L612" s="16"/>
      <c r="P612" s="13"/>
      <c r="Q612" s="14"/>
      <c r="R612" s="13"/>
    </row>
    <row r="613" ht="15.75" customHeight="1">
      <c r="C613" s="14"/>
      <c r="D613" s="14"/>
      <c r="G613" s="16"/>
      <c r="H613" s="16"/>
      <c r="I613" s="16"/>
      <c r="J613" s="16"/>
      <c r="K613" s="16"/>
      <c r="L613" s="16"/>
      <c r="P613" s="13"/>
      <c r="Q613" s="14"/>
      <c r="R613" s="13"/>
    </row>
    <row r="614" ht="15.75" customHeight="1">
      <c r="C614" s="14"/>
      <c r="D614" s="14"/>
      <c r="G614" s="16"/>
      <c r="H614" s="16"/>
      <c r="I614" s="16"/>
      <c r="J614" s="16"/>
      <c r="K614" s="16"/>
      <c r="L614" s="16"/>
      <c r="P614" s="13"/>
      <c r="Q614" s="14"/>
      <c r="R614" s="13"/>
    </row>
    <row r="615" ht="15.75" customHeight="1">
      <c r="C615" s="14"/>
      <c r="D615" s="14"/>
      <c r="G615" s="16"/>
      <c r="H615" s="16"/>
      <c r="I615" s="16"/>
      <c r="J615" s="16"/>
      <c r="K615" s="16"/>
      <c r="L615" s="16"/>
      <c r="P615" s="13"/>
      <c r="Q615" s="14"/>
      <c r="R615" s="13"/>
    </row>
    <row r="616" ht="15.75" customHeight="1">
      <c r="C616" s="14"/>
      <c r="D616" s="14"/>
      <c r="G616" s="16"/>
      <c r="H616" s="16"/>
      <c r="I616" s="16"/>
      <c r="J616" s="16"/>
      <c r="K616" s="16"/>
      <c r="L616" s="16"/>
      <c r="P616" s="13"/>
      <c r="Q616" s="14"/>
      <c r="R616" s="13"/>
    </row>
    <row r="617" ht="15.75" customHeight="1">
      <c r="C617" s="14"/>
      <c r="D617" s="14"/>
      <c r="G617" s="16"/>
      <c r="H617" s="16"/>
      <c r="I617" s="16"/>
      <c r="J617" s="16"/>
      <c r="K617" s="16"/>
      <c r="L617" s="16"/>
      <c r="P617" s="13"/>
      <c r="Q617" s="14"/>
      <c r="R617" s="13"/>
    </row>
    <row r="618" ht="15.75" customHeight="1">
      <c r="C618" s="14"/>
      <c r="D618" s="14"/>
      <c r="G618" s="16"/>
      <c r="H618" s="16"/>
      <c r="I618" s="16"/>
      <c r="J618" s="16"/>
      <c r="K618" s="16"/>
      <c r="L618" s="16"/>
      <c r="P618" s="13"/>
      <c r="Q618" s="14"/>
      <c r="R618" s="13"/>
    </row>
    <row r="619" ht="15.75" customHeight="1">
      <c r="C619" s="14"/>
      <c r="D619" s="14"/>
      <c r="G619" s="16"/>
      <c r="H619" s="16"/>
      <c r="I619" s="16"/>
      <c r="J619" s="16"/>
      <c r="K619" s="16"/>
      <c r="L619" s="16"/>
      <c r="P619" s="13"/>
      <c r="Q619" s="14"/>
      <c r="R619" s="13"/>
    </row>
    <row r="620" ht="15.75" customHeight="1">
      <c r="C620" s="14"/>
      <c r="D620" s="14"/>
      <c r="G620" s="16"/>
      <c r="H620" s="16"/>
      <c r="I620" s="16"/>
      <c r="J620" s="16"/>
      <c r="K620" s="16"/>
      <c r="L620" s="16"/>
      <c r="P620" s="13"/>
      <c r="Q620" s="14"/>
      <c r="R620" s="13"/>
    </row>
    <row r="621" ht="15.75" customHeight="1">
      <c r="C621" s="14"/>
      <c r="D621" s="14"/>
      <c r="G621" s="16"/>
      <c r="H621" s="16"/>
      <c r="I621" s="16"/>
      <c r="J621" s="16"/>
      <c r="K621" s="16"/>
      <c r="L621" s="16"/>
      <c r="P621" s="13"/>
      <c r="Q621" s="14"/>
      <c r="R621" s="13"/>
    </row>
    <row r="622" ht="15.75" customHeight="1">
      <c r="C622" s="14"/>
      <c r="D622" s="14"/>
      <c r="G622" s="16"/>
      <c r="H622" s="16"/>
      <c r="I622" s="16"/>
      <c r="J622" s="16"/>
      <c r="K622" s="16"/>
      <c r="L622" s="16"/>
      <c r="P622" s="13"/>
      <c r="Q622" s="14"/>
      <c r="R622" s="13"/>
    </row>
    <row r="623" ht="15.75" customHeight="1">
      <c r="C623" s="14"/>
      <c r="D623" s="14"/>
      <c r="G623" s="16"/>
      <c r="H623" s="16"/>
      <c r="I623" s="16"/>
      <c r="J623" s="16"/>
      <c r="K623" s="16"/>
      <c r="L623" s="16"/>
      <c r="P623" s="13"/>
      <c r="Q623" s="14"/>
      <c r="R623" s="13"/>
    </row>
    <row r="624" ht="15.75" customHeight="1">
      <c r="C624" s="14"/>
      <c r="D624" s="14"/>
      <c r="G624" s="16"/>
      <c r="H624" s="16"/>
      <c r="I624" s="16"/>
      <c r="J624" s="16"/>
      <c r="K624" s="16"/>
      <c r="L624" s="16"/>
      <c r="P624" s="13"/>
      <c r="Q624" s="14"/>
      <c r="R624" s="13"/>
    </row>
    <row r="625" ht="15.75" customHeight="1">
      <c r="C625" s="14"/>
      <c r="D625" s="14"/>
      <c r="G625" s="16"/>
      <c r="H625" s="16"/>
      <c r="I625" s="16"/>
      <c r="J625" s="16"/>
      <c r="K625" s="16"/>
      <c r="L625" s="16"/>
      <c r="P625" s="13"/>
      <c r="Q625" s="14"/>
      <c r="R625" s="13"/>
    </row>
    <row r="626" ht="15.75" customHeight="1">
      <c r="C626" s="14"/>
      <c r="D626" s="14"/>
      <c r="G626" s="16"/>
      <c r="H626" s="16"/>
      <c r="I626" s="16"/>
      <c r="J626" s="16"/>
      <c r="K626" s="16"/>
      <c r="L626" s="16"/>
      <c r="P626" s="13"/>
      <c r="Q626" s="14"/>
      <c r="R626" s="13"/>
    </row>
    <row r="627" ht="15.75" customHeight="1">
      <c r="C627" s="14"/>
      <c r="D627" s="14"/>
      <c r="G627" s="16"/>
      <c r="H627" s="16"/>
      <c r="I627" s="16"/>
      <c r="J627" s="16"/>
      <c r="K627" s="16"/>
      <c r="L627" s="16"/>
      <c r="P627" s="13"/>
      <c r="Q627" s="14"/>
      <c r="R627" s="13"/>
    </row>
    <row r="628" ht="15.75" customHeight="1">
      <c r="C628" s="14"/>
      <c r="D628" s="14"/>
      <c r="G628" s="16"/>
      <c r="H628" s="16"/>
      <c r="I628" s="16"/>
      <c r="J628" s="16"/>
      <c r="K628" s="16"/>
      <c r="L628" s="16"/>
      <c r="P628" s="13"/>
      <c r="Q628" s="14"/>
      <c r="R628" s="13"/>
    </row>
    <row r="629" ht="15.75" customHeight="1">
      <c r="C629" s="14"/>
      <c r="D629" s="14"/>
      <c r="G629" s="16"/>
      <c r="H629" s="16"/>
      <c r="I629" s="16"/>
      <c r="J629" s="16"/>
      <c r="K629" s="16"/>
      <c r="L629" s="16"/>
      <c r="P629" s="13"/>
      <c r="Q629" s="14"/>
      <c r="R629" s="13"/>
    </row>
    <row r="630" ht="15.75" customHeight="1">
      <c r="C630" s="14"/>
      <c r="D630" s="14"/>
      <c r="G630" s="16"/>
      <c r="H630" s="16"/>
      <c r="I630" s="16"/>
      <c r="J630" s="16"/>
      <c r="K630" s="16"/>
      <c r="L630" s="16"/>
      <c r="P630" s="13"/>
      <c r="Q630" s="14"/>
      <c r="R630" s="13"/>
    </row>
    <row r="631" ht="15.75" customHeight="1">
      <c r="C631" s="14"/>
      <c r="D631" s="14"/>
      <c r="G631" s="16"/>
      <c r="H631" s="16"/>
      <c r="I631" s="16"/>
      <c r="J631" s="16"/>
      <c r="K631" s="16"/>
      <c r="L631" s="16"/>
      <c r="P631" s="13"/>
      <c r="Q631" s="14"/>
      <c r="R631" s="13"/>
    </row>
    <row r="632" ht="15.75" customHeight="1">
      <c r="C632" s="14"/>
      <c r="D632" s="14"/>
      <c r="G632" s="16"/>
      <c r="H632" s="16"/>
      <c r="I632" s="16"/>
      <c r="J632" s="16"/>
      <c r="K632" s="16"/>
      <c r="L632" s="16"/>
      <c r="P632" s="13"/>
      <c r="Q632" s="14"/>
      <c r="R632" s="13"/>
    </row>
    <row r="633" ht="15.75" customHeight="1">
      <c r="C633" s="14"/>
      <c r="D633" s="14"/>
      <c r="G633" s="16"/>
      <c r="H633" s="16"/>
      <c r="I633" s="16"/>
      <c r="J633" s="16"/>
      <c r="K633" s="16"/>
      <c r="L633" s="16"/>
      <c r="P633" s="13"/>
      <c r="Q633" s="14"/>
      <c r="R633" s="13"/>
    </row>
    <row r="634" ht="15.75" customHeight="1">
      <c r="C634" s="14"/>
      <c r="D634" s="14"/>
      <c r="G634" s="16"/>
      <c r="H634" s="16"/>
      <c r="I634" s="16"/>
      <c r="J634" s="16"/>
      <c r="K634" s="16"/>
      <c r="L634" s="16"/>
      <c r="P634" s="13"/>
      <c r="Q634" s="14"/>
      <c r="R634" s="13"/>
    </row>
    <row r="635" ht="15.75" customHeight="1">
      <c r="C635" s="14"/>
      <c r="D635" s="14"/>
      <c r="G635" s="16"/>
      <c r="H635" s="16"/>
      <c r="I635" s="16"/>
      <c r="J635" s="16"/>
      <c r="K635" s="16"/>
      <c r="L635" s="16"/>
      <c r="P635" s="13"/>
      <c r="Q635" s="14"/>
      <c r="R635" s="13"/>
    </row>
    <row r="636" ht="15.75" customHeight="1">
      <c r="C636" s="14"/>
      <c r="D636" s="14"/>
      <c r="G636" s="16"/>
      <c r="H636" s="16"/>
      <c r="I636" s="16"/>
      <c r="J636" s="16"/>
      <c r="K636" s="16"/>
      <c r="L636" s="16"/>
      <c r="P636" s="13"/>
      <c r="Q636" s="14"/>
      <c r="R636" s="13"/>
    </row>
    <row r="637" ht="15.75" customHeight="1">
      <c r="C637" s="14"/>
      <c r="D637" s="14"/>
      <c r="G637" s="16"/>
      <c r="H637" s="16"/>
      <c r="I637" s="16"/>
      <c r="J637" s="16"/>
      <c r="K637" s="16"/>
      <c r="L637" s="16"/>
      <c r="P637" s="13"/>
      <c r="Q637" s="14"/>
      <c r="R637" s="13"/>
    </row>
    <row r="638" ht="15.75" customHeight="1">
      <c r="C638" s="14"/>
      <c r="D638" s="14"/>
      <c r="G638" s="16"/>
      <c r="H638" s="16"/>
      <c r="I638" s="16"/>
      <c r="J638" s="16"/>
      <c r="K638" s="16"/>
      <c r="L638" s="16"/>
      <c r="P638" s="13"/>
      <c r="Q638" s="14"/>
      <c r="R638" s="13"/>
    </row>
    <row r="639" ht="15.75" customHeight="1">
      <c r="C639" s="14"/>
      <c r="D639" s="14"/>
      <c r="G639" s="16"/>
      <c r="H639" s="16"/>
      <c r="I639" s="16"/>
      <c r="J639" s="16"/>
      <c r="K639" s="16"/>
      <c r="L639" s="16"/>
      <c r="P639" s="13"/>
      <c r="Q639" s="14"/>
      <c r="R639" s="13"/>
    </row>
    <row r="640" ht="15.75" customHeight="1">
      <c r="C640" s="14"/>
      <c r="D640" s="14"/>
      <c r="G640" s="16"/>
      <c r="H640" s="16"/>
      <c r="I640" s="16"/>
      <c r="J640" s="16"/>
      <c r="K640" s="16"/>
      <c r="L640" s="16"/>
      <c r="P640" s="13"/>
      <c r="Q640" s="14"/>
      <c r="R640" s="13"/>
    </row>
    <row r="641" ht="15.75" customHeight="1">
      <c r="C641" s="14"/>
      <c r="D641" s="14"/>
      <c r="G641" s="16"/>
      <c r="H641" s="16"/>
      <c r="I641" s="16"/>
      <c r="J641" s="16"/>
      <c r="K641" s="16"/>
      <c r="L641" s="16"/>
      <c r="P641" s="13"/>
      <c r="Q641" s="14"/>
      <c r="R641" s="13"/>
    </row>
    <row r="642" ht="15.75" customHeight="1">
      <c r="C642" s="14"/>
      <c r="D642" s="14"/>
      <c r="G642" s="16"/>
      <c r="H642" s="16"/>
      <c r="I642" s="16"/>
      <c r="J642" s="16"/>
      <c r="K642" s="16"/>
      <c r="L642" s="16"/>
      <c r="P642" s="13"/>
      <c r="Q642" s="14"/>
      <c r="R642" s="13"/>
    </row>
    <row r="643" ht="15.75" customHeight="1">
      <c r="C643" s="14"/>
      <c r="D643" s="14"/>
      <c r="G643" s="16"/>
      <c r="H643" s="16"/>
      <c r="I643" s="16"/>
      <c r="J643" s="16"/>
      <c r="K643" s="16"/>
      <c r="L643" s="16"/>
      <c r="P643" s="13"/>
      <c r="Q643" s="14"/>
      <c r="R643" s="13"/>
    </row>
    <row r="644" ht="15.75" customHeight="1">
      <c r="C644" s="14"/>
      <c r="D644" s="14"/>
      <c r="G644" s="16"/>
      <c r="H644" s="16"/>
      <c r="I644" s="16"/>
      <c r="J644" s="16"/>
      <c r="K644" s="16"/>
      <c r="L644" s="16"/>
      <c r="P644" s="13"/>
      <c r="Q644" s="14"/>
      <c r="R644" s="13"/>
    </row>
    <row r="645" ht="15.75" customHeight="1">
      <c r="C645" s="14"/>
      <c r="D645" s="14"/>
      <c r="G645" s="16"/>
      <c r="H645" s="16"/>
      <c r="I645" s="16"/>
      <c r="J645" s="16"/>
      <c r="K645" s="16"/>
      <c r="L645" s="16"/>
      <c r="P645" s="13"/>
      <c r="Q645" s="14"/>
      <c r="R645" s="13"/>
    </row>
    <row r="646" ht="15.75" customHeight="1">
      <c r="C646" s="14"/>
      <c r="D646" s="14"/>
      <c r="G646" s="16"/>
      <c r="H646" s="16"/>
      <c r="I646" s="16"/>
      <c r="J646" s="16"/>
      <c r="K646" s="16"/>
      <c r="L646" s="16"/>
      <c r="P646" s="13"/>
      <c r="Q646" s="14"/>
      <c r="R646" s="13"/>
    </row>
    <row r="647" ht="15.75" customHeight="1">
      <c r="C647" s="14"/>
      <c r="D647" s="14"/>
      <c r="G647" s="16"/>
      <c r="H647" s="16"/>
      <c r="I647" s="16"/>
      <c r="J647" s="16"/>
      <c r="K647" s="16"/>
      <c r="L647" s="16"/>
      <c r="P647" s="13"/>
      <c r="Q647" s="14"/>
      <c r="R647" s="13"/>
    </row>
    <row r="648" ht="15.75" customHeight="1">
      <c r="C648" s="14"/>
      <c r="D648" s="14"/>
      <c r="G648" s="16"/>
      <c r="H648" s="16"/>
      <c r="I648" s="16"/>
      <c r="J648" s="16"/>
      <c r="K648" s="16"/>
      <c r="L648" s="16"/>
      <c r="P648" s="13"/>
      <c r="Q648" s="14"/>
      <c r="R648" s="13"/>
    </row>
    <row r="649" ht="15.75" customHeight="1">
      <c r="C649" s="14"/>
      <c r="D649" s="14"/>
      <c r="G649" s="16"/>
      <c r="H649" s="16"/>
      <c r="I649" s="16"/>
      <c r="J649" s="16"/>
      <c r="K649" s="16"/>
      <c r="L649" s="16"/>
      <c r="P649" s="13"/>
      <c r="Q649" s="14"/>
      <c r="R649" s="13"/>
    </row>
    <row r="650" ht="15.75" customHeight="1">
      <c r="C650" s="14"/>
      <c r="D650" s="14"/>
      <c r="G650" s="16"/>
      <c r="H650" s="16"/>
      <c r="I650" s="16"/>
      <c r="J650" s="16"/>
      <c r="K650" s="16"/>
      <c r="L650" s="16"/>
      <c r="P650" s="13"/>
      <c r="Q650" s="14"/>
      <c r="R650" s="13"/>
    </row>
    <row r="651" ht="15.75" customHeight="1">
      <c r="C651" s="14"/>
      <c r="D651" s="14"/>
      <c r="G651" s="16"/>
      <c r="H651" s="16"/>
      <c r="I651" s="16"/>
      <c r="J651" s="16"/>
      <c r="K651" s="16"/>
      <c r="L651" s="16"/>
      <c r="P651" s="13"/>
      <c r="Q651" s="14"/>
      <c r="R651" s="13"/>
    </row>
    <row r="652" ht="15.75" customHeight="1">
      <c r="C652" s="14"/>
      <c r="D652" s="14"/>
      <c r="G652" s="16"/>
      <c r="H652" s="16"/>
      <c r="I652" s="16"/>
      <c r="J652" s="16"/>
      <c r="K652" s="16"/>
      <c r="L652" s="16"/>
      <c r="P652" s="13"/>
      <c r="Q652" s="14"/>
      <c r="R652" s="13"/>
    </row>
    <row r="653" ht="15.75" customHeight="1">
      <c r="C653" s="14"/>
      <c r="D653" s="14"/>
      <c r="G653" s="16"/>
      <c r="H653" s="16"/>
      <c r="I653" s="16"/>
      <c r="J653" s="16"/>
      <c r="K653" s="16"/>
      <c r="L653" s="16"/>
      <c r="P653" s="13"/>
      <c r="Q653" s="14"/>
      <c r="R653" s="13"/>
    </row>
    <row r="654" ht="15.75" customHeight="1">
      <c r="C654" s="14"/>
      <c r="D654" s="14"/>
      <c r="G654" s="16"/>
      <c r="H654" s="16"/>
      <c r="I654" s="16"/>
      <c r="J654" s="16"/>
      <c r="K654" s="16"/>
      <c r="L654" s="16"/>
      <c r="P654" s="13"/>
      <c r="Q654" s="14"/>
      <c r="R654" s="13"/>
    </row>
    <row r="655" ht="15.75" customHeight="1">
      <c r="C655" s="14"/>
      <c r="D655" s="14"/>
      <c r="G655" s="16"/>
      <c r="H655" s="16"/>
      <c r="I655" s="16"/>
      <c r="J655" s="16"/>
      <c r="K655" s="16"/>
      <c r="L655" s="16"/>
      <c r="P655" s="13"/>
      <c r="Q655" s="14"/>
      <c r="R655" s="13"/>
    </row>
    <row r="656" ht="15.75" customHeight="1">
      <c r="C656" s="14"/>
      <c r="D656" s="14"/>
      <c r="G656" s="16"/>
      <c r="H656" s="16"/>
      <c r="I656" s="16"/>
      <c r="J656" s="16"/>
      <c r="K656" s="16"/>
      <c r="L656" s="16"/>
      <c r="P656" s="13"/>
      <c r="Q656" s="14"/>
      <c r="R656" s="13"/>
    </row>
    <row r="657" ht="15.75" customHeight="1">
      <c r="C657" s="14"/>
      <c r="D657" s="14"/>
      <c r="G657" s="16"/>
      <c r="H657" s="16"/>
      <c r="I657" s="16"/>
      <c r="J657" s="16"/>
      <c r="K657" s="16"/>
      <c r="L657" s="16"/>
      <c r="P657" s="13"/>
      <c r="Q657" s="14"/>
      <c r="R657" s="13"/>
    </row>
    <row r="658" ht="15.75" customHeight="1">
      <c r="C658" s="14"/>
      <c r="D658" s="14"/>
      <c r="G658" s="16"/>
      <c r="H658" s="16"/>
      <c r="I658" s="16"/>
      <c r="J658" s="16"/>
      <c r="K658" s="16"/>
      <c r="L658" s="16"/>
      <c r="P658" s="13"/>
      <c r="Q658" s="14"/>
      <c r="R658" s="13"/>
    </row>
    <row r="659" ht="15.75" customHeight="1">
      <c r="C659" s="14"/>
      <c r="D659" s="14"/>
      <c r="G659" s="16"/>
      <c r="H659" s="16"/>
      <c r="I659" s="16"/>
      <c r="J659" s="16"/>
      <c r="K659" s="16"/>
      <c r="L659" s="16"/>
      <c r="P659" s="13"/>
      <c r="Q659" s="14"/>
      <c r="R659" s="13"/>
    </row>
    <row r="660" ht="15.75" customHeight="1">
      <c r="C660" s="14"/>
      <c r="D660" s="14"/>
      <c r="G660" s="16"/>
      <c r="H660" s="16"/>
      <c r="I660" s="16"/>
      <c r="J660" s="16"/>
      <c r="K660" s="16"/>
      <c r="L660" s="16"/>
      <c r="P660" s="13"/>
      <c r="Q660" s="14"/>
      <c r="R660" s="13"/>
    </row>
    <row r="661" ht="15.75" customHeight="1">
      <c r="C661" s="14"/>
      <c r="D661" s="14"/>
      <c r="G661" s="16"/>
      <c r="H661" s="16"/>
      <c r="I661" s="16"/>
      <c r="J661" s="16"/>
      <c r="K661" s="16"/>
      <c r="L661" s="16"/>
      <c r="P661" s="13"/>
      <c r="Q661" s="14"/>
      <c r="R661" s="13"/>
    </row>
    <row r="662" ht="15.75" customHeight="1">
      <c r="C662" s="14"/>
      <c r="D662" s="14"/>
      <c r="G662" s="16"/>
      <c r="H662" s="16"/>
      <c r="I662" s="16"/>
      <c r="J662" s="16"/>
      <c r="K662" s="16"/>
      <c r="L662" s="16"/>
      <c r="P662" s="13"/>
      <c r="Q662" s="14"/>
      <c r="R662" s="13"/>
    </row>
    <row r="663" ht="15.75" customHeight="1">
      <c r="C663" s="14"/>
      <c r="D663" s="14"/>
      <c r="G663" s="16"/>
      <c r="H663" s="16"/>
      <c r="I663" s="16"/>
      <c r="J663" s="16"/>
      <c r="K663" s="16"/>
      <c r="L663" s="16"/>
      <c r="P663" s="13"/>
      <c r="Q663" s="14"/>
      <c r="R663" s="13"/>
    </row>
    <row r="664" ht="15.75" customHeight="1">
      <c r="C664" s="14"/>
      <c r="D664" s="14"/>
      <c r="G664" s="16"/>
      <c r="H664" s="16"/>
      <c r="I664" s="16"/>
      <c r="J664" s="16"/>
      <c r="K664" s="16"/>
      <c r="L664" s="16"/>
      <c r="P664" s="13"/>
      <c r="Q664" s="14"/>
      <c r="R664" s="13"/>
    </row>
    <row r="665" ht="15.75" customHeight="1">
      <c r="C665" s="14"/>
      <c r="D665" s="14"/>
      <c r="G665" s="16"/>
      <c r="H665" s="16"/>
      <c r="I665" s="16"/>
      <c r="J665" s="16"/>
      <c r="K665" s="16"/>
      <c r="L665" s="16"/>
      <c r="P665" s="13"/>
      <c r="Q665" s="14"/>
      <c r="R665" s="13"/>
    </row>
    <row r="666" ht="15.75" customHeight="1">
      <c r="C666" s="14"/>
      <c r="D666" s="14"/>
      <c r="G666" s="16"/>
      <c r="H666" s="16"/>
      <c r="I666" s="16"/>
      <c r="J666" s="16"/>
      <c r="K666" s="16"/>
      <c r="L666" s="16"/>
      <c r="P666" s="13"/>
      <c r="Q666" s="14"/>
      <c r="R666" s="13"/>
    </row>
    <row r="667" ht="15.75" customHeight="1">
      <c r="C667" s="14"/>
      <c r="D667" s="14"/>
      <c r="G667" s="16"/>
      <c r="H667" s="16"/>
      <c r="I667" s="16"/>
      <c r="J667" s="16"/>
      <c r="K667" s="16"/>
      <c r="L667" s="16"/>
      <c r="P667" s="13"/>
      <c r="Q667" s="14"/>
      <c r="R667" s="13"/>
    </row>
    <row r="668" ht="15.75" customHeight="1">
      <c r="C668" s="14"/>
      <c r="D668" s="14"/>
      <c r="G668" s="16"/>
      <c r="H668" s="16"/>
      <c r="I668" s="16"/>
      <c r="J668" s="16"/>
      <c r="K668" s="16"/>
      <c r="L668" s="16"/>
      <c r="P668" s="13"/>
      <c r="Q668" s="14"/>
      <c r="R668" s="13"/>
    </row>
    <row r="669" ht="15.75" customHeight="1">
      <c r="C669" s="14"/>
      <c r="D669" s="14"/>
      <c r="G669" s="16"/>
      <c r="H669" s="16"/>
      <c r="I669" s="16"/>
      <c r="J669" s="16"/>
      <c r="K669" s="16"/>
      <c r="L669" s="16"/>
      <c r="P669" s="13"/>
      <c r="Q669" s="14"/>
      <c r="R669" s="13"/>
    </row>
    <row r="670" ht="15.75" customHeight="1">
      <c r="C670" s="14"/>
      <c r="D670" s="14"/>
      <c r="G670" s="16"/>
      <c r="H670" s="16"/>
      <c r="I670" s="16"/>
      <c r="J670" s="16"/>
      <c r="K670" s="16"/>
      <c r="L670" s="16"/>
      <c r="P670" s="13"/>
      <c r="Q670" s="14"/>
      <c r="R670" s="13"/>
    </row>
    <row r="671" ht="15.75" customHeight="1">
      <c r="C671" s="14"/>
      <c r="D671" s="14"/>
      <c r="G671" s="16"/>
      <c r="H671" s="16"/>
      <c r="I671" s="16"/>
      <c r="J671" s="16"/>
      <c r="K671" s="16"/>
      <c r="L671" s="16"/>
      <c r="P671" s="13"/>
      <c r="Q671" s="14"/>
      <c r="R671" s="13"/>
    </row>
    <row r="672" ht="15.75" customHeight="1">
      <c r="C672" s="14"/>
      <c r="D672" s="14"/>
      <c r="G672" s="16"/>
      <c r="H672" s="16"/>
      <c r="I672" s="16"/>
      <c r="J672" s="16"/>
      <c r="K672" s="16"/>
      <c r="L672" s="16"/>
      <c r="P672" s="13"/>
      <c r="Q672" s="14"/>
      <c r="R672" s="13"/>
    </row>
    <row r="673" ht="15.75" customHeight="1">
      <c r="C673" s="14"/>
      <c r="D673" s="14"/>
      <c r="G673" s="16"/>
      <c r="H673" s="16"/>
      <c r="I673" s="16"/>
      <c r="J673" s="16"/>
      <c r="K673" s="16"/>
      <c r="L673" s="16"/>
      <c r="P673" s="13"/>
      <c r="Q673" s="14"/>
      <c r="R673" s="13"/>
    </row>
    <row r="674" ht="15.75" customHeight="1">
      <c r="C674" s="14"/>
      <c r="D674" s="14"/>
      <c r="G674" s="16"/>
      <c r="H674" s="16"/>
      <c r="I674" s="16"/>
      <c r="J674" s="16"/>
      <c r="K674" s="16"/>
      <c r="L674" s="16"/>
      <c r="P674" s="13"/>
      <c r="Q674" s="14"/>
      <c r="R674" s="13"/>
    </row>
    <row r="675" ht="15.75" customHeight="1">
      <c r="C675" s="14"/>
      <c r="D675" s="14"/>
      <c r="G675" s="16"/>
      <c r="H675" s="16"/>
      <c r="I675" s="16"/>
      <c r="J675" s="16"/>
      <c r="K675" s="16"/>
      <c r="L675" s="16"/>
      <c r="P675" s="13"/>
      <c r="Q675" s="14"/>
      <c r="R675" s="13"/>
    </row>
    <row r="676" ht="15.75" customHeight="1">
      <c r="C676" s="14"/>
      <c r="D676" s="14"/>
      <c r="G676" s="16"/>
      <c r="H676" s="16"/>
      <c r="I676" s="16"/>
      <c r="J676" s="16"/>
      <c r="K676" s="16"/>
      <c r="L676" s="16"/>
      <c r="P676" s="13"/>
      <c r="Q676" s="14"/>
      <c r="R676" s="13"/>
    </row>
    <row r="677" ht="15.75" customHeight="1">
      <c r="C677" s="14"/>
      <c r="D677" s="14"/>
      <c r="G677" s="16"/>
      <c r="H677" s="16"/>
      <c r="I677" s="16"/>
      <c r="J677" s="16"/>
      <c r="K677" s="16"/>
      <c r="L677" s="16"/>
      <c r="P677" s="13"/>
      <c r="Q677" s="14"/>
      <c r="R677" s="13"/>
    </row>
    <row r="678" ht="15.75" customHeight="1">
      <c r="C678" s="14"/>
      <c r="D678" s="14"/>
      <c r="G678" s="16"/>
      <c r="H678" s="16"/>
      <c r="I678" s="16"/>
      <c r="J678" s="16"/>
      <c r="K678" s="16"/>
      <c r="L678" s="16"/>
      <c r="P678" s="13"/>
      <c r="Q678" s="14"/>
      <c r="R678" s="13"/>
    </row>
    <row r="679" ht="15.75" customHeight="1">
      <c r="C679" s="14"/>
      <c r="D679" s="14"/>
      <c r="G679" s="16"/>
      <c r="H679" s="16"/>
      <c r="I679" s="16"/>
      <c r="J679" s="16"/>
      <c r="K679" s="16"/>
      <c r="L679" s="16"/>
      <c r="P679" s="13"/>
      <c r="Q679" s="14"/>
      <c r="R679" s="13"/>
    </row>
    <row r="680" ht="15.75" customHeight="1">
      <c r="C680" s="14"/>
      <c r="D680" s="14"/>
      <c r="G680" s="16"/>
      <c r="H680" s="16"/>
      <c r="I680" s="16"/>
      <c r="J680" s="16"/>
      <c r="K680" s="16"/>
      <c r="L680" s="16"/>
      <c r="P680" s="13"/>
      <c r="Q680" s="14"/>
      <c r="R680" s="13"/>
    </row>
    <row r="681" ht="15.75" customHeight="1">
      <c r="C681" s="14"/>
      <c r="D681" s="14"/>
      <c r="G681" s="16"/>
      <c r="H681" s="16"/>
      <c r="I681" s="16"/>
      <c r="J681" s="16"/>
      <c r="K681" s="16"/>
      <c r="L681" s="16"/>
      <c r="P681" s="13"/>
      <c r="Q681" s="14"/>
      <c r="R681" s="13"/>
    </row>
    <row r="682" ht="15.75" customHeight="1">
      <c r="C682" s="14"/>
      <c r="D682" s="14"/>
      <c r="G682" s="16"/>
      <c r="H682" s="16"/>
      <c r="I682" s="16"/>
      <c r="J682" s="16"/>
      <c r="K682" s="16"/>
      <c r="L682" s="16"/>
      <c r="P682" s="13"/>
      <c r="Q682" s="14"/>
      <c r="R682" s="13"/>
    </row>
    <row r="683" ht="15.75" customHeight="1">
      <c r="C683" s="14"/>
      <c r="D683" s="14"/>
      <c r="G683" s="16"/>
      <c r="H683" s="16"/>
      <c r="I683" s="16"/>
      <c r="J683" s="16"/>
      <c r="K683" s="16"/>
      <c r="L683" s="16"/>
      <c r="P683" s="13"/>
      <c r="Q683" s="14"/>
      <c r="R683" s="13"/>
    </row>
    <row r="684" ht="15.75" customHeight="1">
      <c r="C684" s="14"/>
      <c r="D684" s="14"/>
      <c r="G684" s="16"/>
      <c r="H684" s="16"/>
      <c r="I684" s="16"/>
      <c r="J684" s="16"/>
      <c r="K684" s="16"/>
      <c r="L684" s="16"/>
      <c r="P684" s="13"/>
      <c r="Q684" s="14"/>
      <c r="R684" s="13"/>
    </row>
    <row r="685" ht="15.75" customHeight="1">
      <c r="C685" s="14"/>
      <c r="D685" s="14"/>
      <c r="G685" s="16"/>
      <c r="H685" s="16"/>
      <c r="I685" s="16"/>
      <c r="J685" s="16"/>
      <c r="K685" s="16"/>
      <c r="L685" s="16"/>
      <c r="P685" s="13"/>
      <c r="Q685" s="14"/>
      <c r="R685" s="13"/>
    </row>
    <row r="686" ht="15.75" customHeight="1">
      <c r="C686" s="14"/>
      <c r="D686" s="14"/>
      <c r="G686" s="16"/>
      <c r="H686" s="16"/>
      <c r="I686" s="16"/>
      <c r="J686" s="16"/>
      <c r="K686" s="16"/>
      <c r="L686" s="16"/>
      <c r="P686" s="13"/>
      <c r="Q686" s="14"/>
      <c r="R686" s="13"/>
    </row>
    <row r="687" ht="15.75" customHeight="1">
      <c r="C687" s="14"/>
      <c r="D687" s="14"/>
      <c r="G687" s="16"/>
      <c r="H687" s="16"/>
      <c r="I687" s="16"/>
      <c r="J687" s="16"/>
      <c r="K687" s="16"/>
      <c r="L687" s="16"/>
      <c r="P687" s="13"/>
      <c r="Q687" s="14"/>
      <c r="R687" s="13"/>
    </row>
    <row r="688" ht="15.75" customHeight="1">
      <c r="C688" s="14"/>
      <c r="D688" s="14"/>
      <c r="G688" s="16"/>
      <c r="H688" s="16"/>
      <c r="I688" s="16"/>
      <c r="J688" s="16"/>
      <c r="K688" s="16"/>
      <c r="L688" s="16"/>
      <c r="P688" s="13"/>
      <c r="Q688" s="14"/>
      <c r="R688" s="13"/>
    </row>
    <row r="689" ht="15.75" customHeight="1">
      <c r="C689" s="14"/>
      <c r="D689" s="14"/>
      <c r="G689" s="16"/>
      <c r="H689" s="16"/>
      <c r="I689" s="16"/>
      <c r="J689" s="16"/>
      <c r="K689" s="16"/>
      <c r="L689" s="16"/>
      <c r="P689" s="13"/>
      <c r="Q689" s="14"/>
      <c r="R689" s="13"/>
    </row>
    <row r="690" ht="15.75" customHeight="1">
      <c r="C690" s="14"/>
      <c r="D690" s="14"/>
      <c r="G690" s="16"/>
      <c r="H690" s="16"/>
      <c r="I690" s="16"/>
      <c r="J690" s="16"/>
      <c r="K690" s="16"/>
      <c r="L690" s="16"/>
      <c r="P690" s="13"/>
      <c r="Q690" s="14"/>
      <c r="R690" s="13"/>
    </row>
    <row r="691" ht="15.75" customHeight="1">
      <c r="C691" s="14"/>
      <c r="D691" s="14"/>
      <c r="G691" s="16"/>
      <c r="H691" s="16"/>
      <c r="I691" s="16"/>
      <c r="J691" s="16"/>
      <c r="K691" s="16"/>
      <c r="L691" s="16"/>
      <c r="P691" s="13"/>
      <c r="Q691" s="14"/>
      <c r="R691" s="13"/>
    </row>
    <row r="692" ht="15.75" customHeight="1">
      <c r="C692" s="14"/>
      <c r="D692" s="14"/>
      <c r="G692" s="16"/>
      <c r="H692" s="16"/>
      <c r="I692" s="16"/>
      <c r="J692" s="16"/>
      <c r="K692" s="16"/>
      <c r="L692" s="16"/>
      <c r="P692" s="13"/>
      <c r="Q692" s="14"/>
      <c r="R692" s="13"/>
    </row>
    <row r="693" ht="15.75" customHeight="1">
      <c r="C693" s="14"/>
      <c r="D693" s="14"/>
      <c r="G693" s="16"/>
      <c r="H693" s="16"/>
      <c r="I693" s="16"/>
      <c r="J693" s="16"/>
      <c r="K693" s="16"/>
      <c r="L693" s="16"/>
      <c r="P693" s="13"/>
      <c r="Q693" s="14"/>
      <c r="R693" s="13"/>
    </row>
    <row r="694" ht="15.75" customHeight="1">
      <c r="C694" s="14"/>
      <c r="D694" s="14"/>
      <c r="G694" s="16"/>
      <c r="H694" s="16"/>
      <c r="I694" s="16"/>
      <c r="J694" s="16"/>
      <c r="K694" s="16"/>
      <c r="L694" s="16"/>
      <c r="P694" s="13"/>
      <c r="Q694" s="14"/>
      <c r="R694" s="13"/>
    </row>
    <row r="695" ht="15.75" customHeight="1">
      <c r="C695" s="14"/>
      <c r="D695" s="14"/>
      <c r="G695" s="16"/>
      <c r="H695" s="16"/>
      <c r="I695" s="16"/>
      <c r="J695" s="16"/>
      <c r="K695" s="16"/>
      <c r="L695" s="16"/>
      <c r="P695" s="13"/>
      <c r="Q695" s="14"/>
      <c r="R695" s="13"/>
    </row>
    <row r="696" ht="15.75" customHeight="1">
      <c r="C696" s="14"/>
      <c r="D696" s="14"/>
      <c r="G696" s="16"/>
      <c r="H696" s="16"/>
      <c r="I696" s="16"/>
      <c r="J696" s="16"/>
      <c r="K696" s="16"/>
      <c r="L696" s="16"/>
      <c r="P696" s="13"/>
      <c r="Q696" s="14"/>
      <c r="R696" s="13"/>
    </row>
    <row r="697" ht="15.75" customHeight="1">
      <c r="C697" s="14"/>
      <c r="D697" s="14"/>
      <c r="G697" s="16"/>
      <c r="H697" s="16"/>
      <c r="I697" s="16"/>
      <c r="J697" s="16"/>
      <c r="K697" s="16"/>
      <c r="L697" s="16"/>
      <c r="P697" s="13"/>
      <c r="Q697" s="14"/>
      <c r="R697" s="13"/>
    </row>
    <row r="698" ht="15.75" customHeight="1">
      <c r="C698" s="14"/>
      <c r="D698" s="14"/>
      <c r="G698" s="16"/>
      <c r="H698" s="16"/>
      <c r="I698" s="16"/>
      <c r="J698" s="16"/>
      <c r="K698" s="16"/>
      <c r="L698" s="16"/>
      <c r="P698" s="13"/>
      <c r="Q698" s="14"/>
      <c r="R698" s="13"/>
    </row>
    <row r="699" ht="15.75" customHeight="1">
      <c r="C699" s="14"/>
      <c r="D699" s="14"/>
      <c r="G699" s="16"/>
      <c r="H699" s="16"/>
      <c r="I699" s="16"/>
      <c r="J699" s="16"/>
      <c r="K699" s="16"/>
      <c r="L699" s="16"/>
      <c r="P699" s="13"/>
      <c r="Q699" s="14"/>
      <c r="R699" s="13"/>
    </row>
    <row r="700" ht="15.75" customHeight="1">
      <c r="C700" s="14"/>
      <c r="D700" s="14"/>
      <c r="G700" s="16"/>
      <c r="H700" s="16"/>
      <c r="I700" s="16"/>
      <c r="J700" s="16"/>
      <c r="K700" s="16"/>
      <c r="L700" s="16"/>
      <c r="P700" s="13"/>
      <c r="Q700" s="14"/>
      <c r="R700" s="13"/>
    </row>
    <row r="701" ht="15.75" customHeight="1">
      <c r="C701" s="14"/>
      <c r="D701" s="14"/>
      <c r="G701" s="16"/>
      <c r="H701" s="16"/>
      <c r="I701" s="16"/>
      <c r="J701" s="16"/>
      <c r="K701" s="16"/>
      <c r="L701" s="16"/>
      <c r="P701" s="13"/>
      <c r="Q701" s="14"/>
      <c r="R701" s="13"/>
    </row>
    <row r="702" ht="15.75" customHeight="1">
      <c r="C702" s="14"/>
      <c r="D702" s="14"/>
      <c r="G702" s="16"/>
      <c r="H702" s="16"/>
      <c r="I702" s="16"/>
      <c r="J702" s="16"/>
      <c r="K702" s="16"/>
      <c r="L702" s="16"/>
      <c r="P702" s="13"/>
      <c r="Q702" s="14"/>
      <c r="R702" s="13"/>
    </row>
    <row r="703" ht="15.75" customHeight="1">
      <c r="C703" s="14"/>
      <c r="D703" s="14"/>
      <c r="G703" s="16"/>
      <c r="H703" s="16"/>
      <c r="I703" s="16"/>
      <c r="J703" s="16"/>
      <c r="K703" s="16"/>
      <c r="L703" s="16"/>
      <c r="P703" s="13"/>
      <c r="Q703" s="14"/>
      <c r="R703" s="13"/>
    </row>
    <row r="704" ht="15.75" customHeight="1">
      <c r="C704" s="14"/>
      <c r="D704" s="14"/>
      <c r="G704" s="16"/>
      <c r="H704" s="16"/>
      <c r="I704" s="16"/>
      <c r="J704" s="16"/>
      <c r="K704" s="16"/>
      <c r="L704" s="16"/>
      <c r="P704" s="13"/>
      <c r="Q704" s="14"/>
      <c r="R704" s="13"/>
    </row>
    <row r="705" ht="15.75" customHeight="1">
      <c r="C705" s="14"/>
      <c r="D705" s="14"/>
      <c r="G705" s="16"/>
      <c r="H705" s="16"/>
      <c r="I705" s="16"/>
      <c r="J705" s="16"/>
      <c r="K705" s="16"/>
      <c r="L705" s="16"/>
      <c r="P705" s="13"/>
      <c r="Q705" s="14"/>
      <c r="R705" s="13"/>
    </row>
    <row r="706" ht="15.75" customHeight="1">
      <c r="C706" s="14"/>
      <c r="D706" s="14"/>
      <c r="G706" s="16"/>
      <c r="H706" s="16"/>
      <c r="I706" s="16"/>
      <c r="J706" s="16"/>
      <c r="K706" s="16"/>
      <c r="L706" s="16"/>
      <c r="P706" s="13"/>
      <c r="Q706" s="14"/>
      <c r="R706" s="13"/>
    </row>
    <row r="707" ht="15.75" customHeight="1">
      <c r="C707" s="14"/>
      <c r="D707" s="14"/>
      <c r="G707" s="16"/>
      <c r="H707" s="16"/>
      <c r="I707" s="16"/>
      <c r="J707" s="16"/>
      <c r="K707" s="16"/>
      <c r="L707" s="16"/>
      <c r="P707" s="13"/>
      <c r="Q707" s="14"/>
      <c r="R707" s="13"/>
    </row>
    <row r="708" ht="15.75" customHeight="1">
      <c r="C708" s="14"/>
      <c r="D708" s="14"/>
      <c r="G708" s="16"/>
      <c r="H708" s="16"/>
      <c r="I708" s="16"/>
      <c r="J708" s="16"/>
      <c r="K708" s="16"/>
      <c r="L708" s="16"/>
      <c r="P708" s="13"/>
      <c r="Q708" s="14"/>
      <c r="R708" s="13"/>
    </row>
    <row r="709" ht="15.75" customHeight="1">
      <c r="C709" s="14"/>
      <c r="D709" s="14"/>
      <c r="G709" s="16"/>
      <c r="H709" s="16"/>
      <c r="I709" s="16"/>
      <c r="J709" s="16"/>
      <c r="K709" s="16"/>
      <c r="L709" s="16"/>
      <c r="P709" s="13"/>
      <c r="Q709" s="14"/>
      <c r="R709" s="13"/>
    </row>
    <row r="710" ht="15.75" customHeight="1">
      <c r="C710" s="14"/>
      <c r="D710" s="14"/>
      <c r="G710" s="16"/>
      <c r="H710" s="16"/>
      <c r="I710" s="16"/>
      <c r="J710" s="16"/>
      <c r="K710" s="16"/>
      <c r="L710" s="16"/>
      <c r="P710" s="13"/>
      <c r="Q710" s="14"/>
      <c r="R710" s="13"/>
    </row>
    <row r="711" ht="15.75" customHeight="1">
      <c r="C711" s="14"/>
      <c r="D711" s="14"/>
      <c r="G711" s="16"/>
      <c r="H711" s="16"/>
      <c r="I711" s="16"/>
      <c r="J711" s="16"/>
      <c r="K711" s="16"/>
      <c r="L711" s="16"/>
      <c r="P711" s="13"/>
      <c r="Q711" s="14"/>
      <c r="R711" s="13"/>
    </row>
    <row r="712" ht="15.75" customHeight="1">
      <c r="C712" s="14"/>
      <c r="D712" s="14"/>
      <c r="G712" s="16"/>
      <c r="H712" s="16"/>
      <c r="I712" s="16"/>
      <c r="J712" s="16"/>
      <c r="K712" s="16"/>
      <c r="L712" s="16"/>
      <c r="P712" s="13"/>
      <c r="Q712" s="14"/>
      <c r="R712" s="13"/>
    </row>
    <row r="713" ht="15.75" customHeight="1">
      <c r="C713" s="14"/>
      <c r="D713" s="14"/>
      <c r="G713" s="16"/>
      <c r="H713" s="16"/>
      <c r="I713" s="16"/>
      <c r="J713" s="16"/>
      <c r="K713" s="16"/>
      <c r="L713" s="16"/>
      <c r="P713" s="13"/>
      <c r="Q713" s="14"/>
      <c r="R713" s="13"/>
    </row>
    <row r="714" ht="15.75" customHeight="1">
      <c r="C714" s="14"/>
      <c r="D714" s="14"/>
      <c r="G714" s="16"/>
      <c r="H714" s="16"/>
      <c r="I714" s="16"/>
      <c r="J714" s="16"/>
      <c r="K714" s="16"/>
      <c r="L714" s="16"/>
      <c r="P714" s="13"/>
      <c r="Q714" s="14"/>
      <c r="R714" s="13"/>
    </row>
    <row r="715" ht="15.75" customHeight="1">
      <c r="C715" s="14"/>
      <c r="D715" s="14"/>
      <c r="G715" s="16"/>
      <c r="H715" s="16"/>
      <c r="I715" s="16"/>
      <c r="J715" s="16"/>
      <c r="K715" s="16"/>
      <c r="L715" s="16"/>
      <c r="P715" s="13"/>
      <c r="Q715" s="14"/>
      <c r="R715" s="13"/>
    </row>
    <row r="716" ht="15.75" customHeight="1">
      <c r="C716" s="14"/>
      <c r="D716" s="14"/>
      <c r="G716" s="16"/>
      <c r="H716" s="16"/>
      <c r="I716" s="16"/>
      <c r="J716" s="16"/>
      <c r="K716" s="16"/>
      <c r="L716" s="16"/>
      <c r="P716" s="13"/>
      <c r="Q716" s="14"/>
      <c r="R716" s="13"/>
    </row>
    <row r="717" ht="15.75" customHeight="1">
      <c r="C717" s="14"/>
      <c r="D717" s="14"/>
      <c r="G717" s="16"/>
      <c r="H717" s="16"/>
      <c r="I717" s="16"/>
      <c r="J717" s="16"/>
      <c r="K717" s="16"/>
      <c r="L717" s="16"/>
      <c r="P717" s="13"/>
      <c r="Q717" s="14"/>
      <c r="R717" s="13"/>
    </row>
    <row r="718" ht="15.75" customHeight="1">
      <c r="C718" s="14"/>
      <c r="D718" s="14"/>
      <c r="G718" s="16"/>
      <c r="H718" s="16"/>
      <c r="I718" s="16"/>
      <c r="J718" s="16"/>
      <c r="K718" s="16"/>
      <c r="L718" s="16"/>
      <c r="P718" s="13"/>
      <c r="Q718" s="14"/>
      <c r="R718" s="13"/>
    </row>
    <row r="719" ht="15.75" customHeight="1">
      <c r="C719" s="14"/>
      <c r="D719" s="14"/>
      <c r="G719" s="16"/>
      <c r="H719" s="16"/>
      <c r="I719" s="16"/>
      <c r="J719" s="16"/>
      <c r="K719" s="16"/>
      <c r="L719" s="16"/>
      <c r="P719" s="13"/>
      <c r="Q719" s="14"/>
      <c r="R719" s="13"/>
    </row>
    <row r="720" ht="15.75" customHeight="1">
      <c r="C720" s="14"/>
      <c r="D720" s="14"/>
      <c r="G720" s="16"/>
      <c r="H720" s="16"/>
      <c r="I720" s="16"/>
      <c r="J720" s="16"/>
      <c r="K720" s="16"/>
      <c r="L720" s="16"/>
      <c r="P720" s="13"/>
      <c r="Q720" s="14"/>
      <c r="R720" s="13"/>
    </row>
    <row r="721" ht="15.75" customHeight="1">
      <c r="C721" s="14"/>
      <c r="D721" s="14"/>
      <c r="G721" s="16"/>
      <c r="H721" s="16"/>
      <c r="I721" s="16"/>
      <c r="J721" s="16"/>
      <c r="K721" s="16"/>
      <c r="L721" s="16"/>
      <c r="P721" s="13"/>
      <c r="Q721" s="14"/>
      <c r="R721" s="13"/>
    </row>
    <row r="722" ht="15.75" customHeight="1">
      <c r="C722" s="14"/>
      <c r="D722" s="14"/>
      <c r="G722" s="16"/>
      <c r="H722" s="16"/>
      <c r="I722" s="16"/>
      <c r="J722" s="16"/>
      <c r="K722" s="16"/>
      <c r="L722" s="16"/>
      <c r="P722" s="13"/>
      <c r="Q722" s="14"/>
      <c r="R722" s="13"/>
    </row>
    <row r="723" ht="15.75" customHeight="1">
      <c r="C723" s="14"/>
      <c r="D723" s="14"/>
      <c r="G723" s="16"/>
      <c r="H723" s="16"/>
      <c r="I723" s="16"/>
      <c r="J723" s="16"/>
      <c r="K723" s="16"/>
      <c r="L723" s="16"/>
      <c r="P723" s="13"/>
      <c r="Q723" s="14"/>
      <c r="R723" s="13"/>
    </row>
    <row r="724" ht="15.75" customHeight="1">
      <c r="C724" s="14"/>
      <c r="D724" s="14"/>
      <c r="G724" s="16"/>
      <c r="H724" s="16"/>
      <c r="I724" s="16"/>
      <c r="J724" s="16"/>
      <c r="K724" s="16"/>
      <c r="L724" s="16"/>
      <c r="P724" s="13"/>
      <c r="Q724" s="14"/>
      <c r="R724" s="13"/>
    </row>
    <row r="725" ht="15.75" customHeight="1">
      <c r="C725" s="14"/>
      <c r="D725" s="14"/>
      <c r="G725" s="16"/>
      <c r="H725" s="16"/>
      <c r="I725" s="16"/>
      <c r="J725" s="16"/>
      <c r="K725" s="16"/>
      <c r="L725" s="16"/>
      <c r="P725" s="13"/>
      <c r="Q725" s="14"/>
      <c r="R725" s="13"/>
    </row>
    <row r="726" ht="15.75" customHeight="1">
      <c r="C726" s="14"/>
      <c r="D726" s="14"/>
      <c r="G726" s="16"/>
      <c r="H726" s="16"/>
      <c r="I726" s="16"/>
      <c r="J726" s="16"/>
      <c r="K726" s="16"/>
      <c r="L726" s="16"/>
      <c r="P726" s="13"/>
      <c r="Q726" s="14"/>
      <c r="R726" s="13"/>
    </row>
    <row r="727" ht="15.75" customHeight="1">
      <c r="C727" s="14"/>
      <c r="D727" s="14"/>
      <c r="G727" s="16"/>
      <c r="H727" s="16"/>
      <c r="I727" s="16"/>
      <c r="J727" s="16"/>
      <c r="K727" s="16"/>
      <c r="L727" s="16"/>
      <c r="P727" s="13"/>
      <c r="Q727" s="14"/>
      <c r="R727" s="13"/>
    </row>
    <row r="728" ht="15.75" customHeight="1">
      <c r="C728" s="14"/>
      <c r="D728" s="14"/>
      <c r="G728" s="16"/>
      <c r="H728" s="16"/>
      <c r="I728" s="16"/>
      <c r="J728" s="16"/>
      <c r="K728" s="16"/>
      <c r="L728" s="16"/>
      <c r="P728" s="13"/>
      <c r="Q728" s="14"/>
      <c r="R728" s="13"/>
    </row>
    <row r="729" ht="15.75" customHeight="1">
      <c r="C729" s="14"/>
      <c r="D729" s="14"/>
      <c r="G729" s="16"/>
      <c r="H729" s="16"/>
      <c r="I729" s="16"/>
      <c r="J729" s="16"/>
      <c r="K729" s="16"/>
      <c r="L729" s="16"/>
      <c r="P729" s="13"/>
      <c r="Q729" s="14"/>
      <c r="R729" s="13"/>
    </row>
    <row r="730" ht="15.75" customHeight="1">
      <c r="C730" s="14"/>
      <c r="D730" s="14"/>
      <c r="G730" s="16"/>
      <c r="H730" s="16"/>
      <c r="I730" s="16"/>
      <c r="J730" s="16"/>
      <c r="K730" s="16"/>
      <c r="L730" s="16"/>
      <c r="P730" s="13"/>
      <c r="Q730" s="14"/>
      <c r="R730" s="13"/>
    </row>
    <row r="731" ht="15.75" customHeight="1">
      <c r="C731" s="14"/>
      <c r="D731" s="14"/>
      <c r="G731" s="16"/>
      <c r="H731" s="16"/>
      <c r="I731" s="16"/>
      <c r="J731" s="16"/>
      <c r="K731" s="16"/>
      <c r="L731" s="16"/>
      <c r="P731" s="13"/>
      <c r="Q731" s="14"/>
      <c r="R731" s="13"/>
    </row>
    <row r="732" ht="15.75" customHeight="1">
      <c r="C732" s="14"/>
      <c r="D732" s="14"/>
      <c r="G732" s="16"/>
      <c r="H732" s="16"/>
      <c r="I732" s="16"/>
      <c r="J732" s="16"/>
      <c r="K732" s="16"/>
      <c r="L732" s="16"/>
      <c r="P732" s="13"/>
      <c r="Q732" s="14"/>
      <c r="R732" s="13"/>
    </row>
    <row r="733" ht="15.75" customHeight="1">
      <c r="C733" s="14"/>
      <c r="D733" s="14"/>
      <c r="G733" s="16"/>
      <c r="H733" s="16"/>
      <c r="I733" s="16"/>
      <c r="J733" s="16"/>
      <c r="K733" s="16"/>
      <c r="L733" s="16"/>
      <c r="P733" s="13"/>
      <c r="Q733" s="14"/>
      <c r="R733" s="13"/>
    </row>
    <row r="734" ht="15.75" customHeight="1">
      <c r="C734" s="14"/>
      <c r="D734" s="14"/>
      <c r="G734" s="16"/>
      <c r="H734" s="16"/>
      <c r="I734" s="16"/>
      <c r="J734" s="16"/>
      <c r="K734" s="16"/>
      <c r="L734" s="16"/>
      <c r="P734" s="13"/>
      <c r="Q734" s="14"/>
      <c r="R734" s="13"/>
    </row>
    <row r="735" ht="15.75" customHeight="1">
      <c r="C735" s="14"/>
      <c r="D735" s="14"/>
      <c r="G735" s="16"/>
      <c r="H735" s="16"/>
      <c r="I735" s="16"/>
      <c r="J735" s="16"/>
      <c r="K735" s="16"/>
      <c r="L735" s="16"/>
      <c r="P735" s="13"/>
      <c r="Q735" s="14"/>
      <c r="R735" s="13"/>
    </row>
    <row r="736" ht="15.75" customHeight="1">
      <c r="C736" s="14"/>
      <c r="D736" s="14"/>
      <c r="G736" s="16"/>
      <c r="H736" s="16"/>
      <c r="I736" s="16"/>
      <c r="J736" s="16"/>
      <c r="K736" s="16"/>
      <c r="L736" s="16"/>
      <c r="P736" s="13"/>
      <c r="Q736" s="14"/>
      <c r="R736" s="13"/>
    </row>
    <row r="737" ht="15.75" customHeight="1">
      <c r="C737" s="14"/>
      <c r="D737" s="14"/>
      <c r="G737" s="16"/>
      <c r="H737" s="16"/>
      <c r="I737" s="16"/>
      <c r="J737" s="16"/>
      <c r="K737" s="16"/>
      <c r="L737" s="16"/>
      <c r="P737" s="13"/>
      <c r="Q737" s="14"/>
      <c r="R737" s="13"/>
    </row>
    <row r="738" ht="15.75" customHeight="1">
      <c r="C738" s="14"/>
      <c r="D738" s="14"/>
      <c r="G738" s="16"/>
      <c r="H738" s="16"/>
      <c r="I738" s="16"/>
      <c r="J738" s="16"/>
      <c r="K738" s="16"/>
      <c r="L738" s="16"/>
      <c r="P738" s="13"/>
      <c r="Q738" s="14"/>
      <c r="R738" s="13"/>
    </row>
    <row r="739" ht="15.75" customHeight="1">
      <c r="C739" s="14"/>
      <c r="D739" s="14"/>
      <c r="G739" s="16"/>
      <c r="H739" s="16"/>
      <c r="I739" s="16"/>
      <c r="J739" s="16"/>
      <c r="K739" s="16"/>
      <c r="L739" s="16"/>
      <c r="P739" s="13"/>
      <c r="Q739" s="14"/>
      <c r="R739" s="13"/>
    </row>
    <row r="740" ht="15.75" customHeight="1">
      <c r="C740" s="14"/>
      <c r="D740" s="14"/>
      <c r="G740" s="16"/>
      <c r="H740" s="16"/>
      <c r="I740" s="16"/>
      <c r="J740" s="16"/>
      <c r="K740" s="16"/>
      <c r="L740" s="16"/>
      <c r="P740" s="13"/>
      <c r="Q740" s="14"/>
      <c r="R740" s="13"/>
    </row>
    <row r="741" ht="15.75" customHeight="1">
      <c r="C741" s="14"/>
      <c r="D741" s="14"/>
      <c r="G741" s="16"/>
      <c r="H741" s="16"/>
      <c r="I741" s="16"/>
      <c r="J741" s="16"/>
      <c r="K741" s="16"/>
      <c r="L741" s="16"/>
      <c r="P741" s="13"/>
      <c r="Q741" s="14"/>
      <c r="R741" s="13"/>
    </row>
    <row r="742" ht="15.75" customHeight="1">
      <c r="C742" s="14"/>
      <c r="D742" s="14"/>
      <c r="G742" s="16"/>
      <c r="H742" s="16"/>
      <c r="I742" s="16"/>
      <c r="J742" s="16"/>
      <c r="K742" s="16"/>
      <c r="L742" s="16"/>
      <c r="P742" s="13"/>
      <c r="Q742" s="14"/>
      <c r="R742" s="13"/>
    </row>
    <row r="743" ht="15.75" customHeight="1">
      <c r="C743" s="14"/>
      <c r="D743" s="14"/>
      <c r="G743" s="16"/>
      <c r="H743" s="16"/>
      <c r="I743" s="16"/>
      <c r="J743" s="16"/>
      <c r="K743" s="16"/>
      <c r="L743" s="16"/>
      <c r="P743" s="13"/>
      <c r="Q743" s="14"/>
      <c r="R743" s="13"/>
    </row>
    <row r="744" ht="15.75" customHeight="1">
      <c r="C744" s="14"/>
      <c r="D744" s="14"/>
      <c r="G744" s="16"/>
      <c r="H744" s="16"/>
      <c r="I744" s="16"/>
      <c r="J744" s="16"/>
      <c r="K744" s="16"/>
      <c r="L744" s="16"/>
      <c r="P744" s="13"/>
      <c r="Q744" s="14"/>
      <c r="R744" s="13"/>
    </row>
    <row r="745" ht="15.75" customHeight="1">
      <c r="C745" s="14"/>
      <c r="D745" s="14"/>
      <c r="G745" s="16"/>
      <c r="H745" s="16"/>
      <c r="I745" s="16"/>
      <c r="J745" s="16"/>
      <c r="K745" s="16"/>
      <c r="L745" s="16"/>
      <c r="P745" s="13"/>
      <c r="Q745" s="14"/>
      <c r="R745" s="13"/>
    </row>
    <row r="746" ht="15.75" customHeight="1">
      <c r="C746" s="14"/>
      <c r="D746" s="14"/>
      <c r="G746" s="16"/>
      <c r="H746" s="16"/>
      <c r="I746" s="16"/>
      <c r="J746" s="16"/>
      <c r="K746" s="16"/>
      <c r="L746" s="16"/>
      <c r="P746" s="13"/>
      <c r="Q746" s="14"/>
      <c r="R746" s="13"/>
    </row>
    <row r="747" ht="15.75" customHeight="1">
      <c r="C747" s="14"/>
      <c r="D747" s="14"/>
      <c r="G747" s="16"/>
      <c r="H747" s="16"/>
      <c r="I747" s="16"/>
      <c r="J747" s="16"/>
      <c r="K747" s="16"/>
      <c r="L747" s="16"/>
      <c r="P747" s="13"/>
      <c r="Q747" s="14"/>
      <c r="R747" s="13"/>
    </row>
    <row r="748" ht="15.75" customHeight="1">
      <c r="C748" s="14"/>
      <c r="D748" s="14"/>
      <c r="G748" s="16"/>
      <c r="H748" s="16"/>
      <c r="I748" s="16"/>
      <c r="J748" s="16"/>
      <c r="K748" s="16"/>
      <c r="L748" s="16"/>
      <c r="P748" s="13"/>
      <c r="Q748" s="14"/>
      <c r="R748" s="13"/>
    </row>
    <row r="749" ht="15.75" customHeight="1">
      <c r="C749" s="14"/>
      <c r="D749" s="14"/>
      <c r="G749" s="16"/>
      <c r="H749" s="16"/>
      <c r="I749" s="16"/>
      <c r="J749" s="16"/>
      <c r="K749" s="16"/>
      <c r="L749" s="16"/>
      <c r="P749" s="13"/>
      <c r="Q749" s="14"/>
      <c r="R749" s="13"/>
    </row>
    <row r="750" ht="15.75" customHeight="1">
      <c r="C750" s="14"/>
      <c r="D750" s="14"/>
      <c r="G750" s="16"/>
      <c r="H750" s="16"/>
      <c r="I750" s="16"/>
      <c r="J750" s="16"/>
      <c r="K750" s="16"/>
      <c r="L750" s="16"/>
      <c r="P750" s="13"/>
      <c r="Q750" s="14"/>
      <c r="R750" s="13"/>
    </row>
    <row r="751" ht="15.75" customHeight="1">
      <c r="C751" s="14"/>
      <c r="D751" s="14"/>
      <c r="G751" s="16"/>
      <c r="H751" s="16"/>
      <c r="I751" s="16"/>
      <c r="J751" s="16"/>
      <c r="K751" s="16"/>
      <c r="L751" s="16"/>
      <c r="P751" s="13"/>
      <c r="Q751" s="14"/>
      <c r="R751" s="13"/>
    </row>
    <row r="752" ht="15.75" customHeight="1">
      <c r="C752" s="14"/>
      <c r="D752" s="14"/>
      <c r="G752" s="16"/>
      <c r="H752" s="16"/>
      <c r="I752" s="16"/>
      <c r="J752" s="16"/>
      <c r="K752" s="16"/>
      <c r="L752" s="16"/>
      <c r="P752" s="13"/>
      <c r="Q752" s="14"/>
      <c r="R752" s="13"/>
    </row>
    <row r="753" ht="15.75" customHeight="1">
      <c r="C753" s="14"/>
      <c r="D753" s="14"/>
      <c r="G753" s="16"/>
      <c r="H753" s="16"/>
      <c r="I753" s="16"/>
      <c r="J753" s="16"/>
      <c r="K753" s="16"/>
      <c r="L753" s="16"/>
      <c r="P753" s="13"/>
      <c r="Q753" s="14"/>
      <c r="R753" s="13"/>
    </row>
    <row r="754" ht="15.75" customHeight="1">
      <c r="C754" s="14"/>
      <c r="D754" s="14"/>
      <c r="G754" s="16"/>
      <c r="H754" s="16"/>
      <c r="I754" s="16"/>
      <c r="J754" s="16"/>
      <c r="K754" s="16"/>
      <c r="L754" s="16"/>
      <c r="P754" s="13"/>
      <c r="Q754" s="14"/>
      <c r="R754" s="13"/>
    </row>
    <row r="755" ht="15.75" customHeight="1">
      <c r="C755" s="14"/>
      <c r="D755" s="14"/>
      <c r="G755" s="16"/>
      <c r="H755" s="16"/>
      <c r="I755" s="16"/>
      <c r="J755" s="16"/>
      <c r="K755" s="16"/>
      <c r="L755" s="16"/>
      <c r="P755" s="13"/>
      <c r="Q755" s="14"/>
      <c r="R755" s="13"/>
    </row>
    <row r="756" ht="15.75" customHeight="1">
      <c r="C756" s="14"/>
      <c r="D756" s="14"/>
      <c r="G756" s="16"/>
      <c r="H756" s="16"/>
      <c r="I756" s="16"/>
      <c r="J756" s="16"/>
      <c r="K756" s="16"/>
      <c r="L756" s="16"/>
      <c r="P756" s="13"/>
      <c r="Q756" s="14"/>
      <c r="R756" s="13"/>
    </row>
    <row r="757" ht="15.75" customHeight="1">
      <c r="C757" s="14"/>
      <c r="D757" s="14"/>
      <c r="G757" s="16"/>
      <c r="H757" s="16"/>
      <c r="I757" s="16"/>
      <c r="J757" s="16"/>
      <c r="K757" s="16"/>
      <c r="L757" s="16"/>
      <c r="P757" s="13"/>
      <c r="Q757" s="14"/>
      <c r="R757" s="13"/>
    </row>
    <row r="758" ht="15.75" customHeight="1">
      <c r="C758" s="14"/>
      <c r="D758" s="14"/>
      <c r="G758" s="16"/>
      <c r="H758" s="16"/>
      <c r="I758" s="16"/>
      <c r="J758" s="16"/>
      <c r="K758" s="16"/>
      <c r="L758" s="16"/>
      <c r="P758" s="13"/>
      <c r="Q758" s="14"/>
      <c r="R758" s="13"/>
    </row>
    <row r="759" ht="15.75" customHeight="1">
      <c r="C759" s="14"/>
      <c r="D759" s="14"/>
      <c r="G759" s="16"/>
      <c r="H759" s="16"/>
      <c r="I759" s="16"/>
      <c r="J759" s="16"/>
      <c r="K759" s="16"/>
      <c r="L759" s="16"/>
      <c r="P759" s="13"/>
      <c r="Q759" s="14"/>
      <c r="R759" s="13"/>
    </row>
    <row r="760" ht="15.75" customHeight="1">
      <c r="C760" s="14"/>
      <c r="D760" s="14"/>
      <c r="G760" s="16"/>
      <c r="H760" s="16"/>
      <c r="I760" s="16"/>
      <c r="J760" s="16"/>
      <c r="K760" s="16"/>
      <c r="L760" s="16"/>
      <c r="P760" s="13"/>
      <c r="Q760" s="14"/>
      <c r="R760" s="13"/>
    </row>
    <row r="761" ht="15.75" customHeight="1">
      <c r="C761" s="14"/>
      <c r="D761" s="14"/>
      <c r="G761" s="16"/>
      <c r="H761" s="16"/>
      <c r="I761" s="16"/>
      <c r="J761" s="16"/>
      <c r="K761" s="16"/>
      <c r="L761" s="16"/>
      <c r="P761" s="13"/>
      <c r="Q761" s="14"/>
      <c r="R761" s="13"/>
    </row>
    <row r="762" ht="15.75" customHeight="1">
      <c r="C762" s="14"/>
      <c r="D762" s="14"/>
      <c r="G762" s="16"/>
      <c r="H762" s="16"/>
      <c r="I762" s="16"/>
      <c r="J762" s="16"/>
      <c r="K762" s="16"/>
      <c r="L762" s="16"/>
      <c r="P762" s="13"/>
      <c r="Q762" s="14"/>
      <c r="R762" s="13"/>
    </row>
    <row r="763" ht="15.75" customHeight="1">
      <c r="C763" s="14"/>
      <c r="D763" s="14"/>
      <c r="G763" s="16"/>
      <c r="H763" s="16"/>
      <c r="I763" s="16"/>
      <c r="J763" s="16"/>
      <c r="K763" s="16"/>
      <c r="L763" s="16"/>
      <c r="P763" s="13"/>
      <c r="Q763" s="14"/>
      <c r="R763" s="13"/>
    </row>
    <row r="764" ht="15.75" customHeight="1">
      <c r="C764" s="14"/>
      <c r="D764" s="14"/>
      <c r="G764" s="16"/>
      <c r="H764" s="16"/>
      <c r="I764" s="16"/>
      <c r="J764" s="16"/>
      <c r="K764" s="16"/>
      <c r="L764" s="16"/>
      <c r="P764" s="13"/>
      <c r="Q764" s="14"/>
      <c r="R764" s="13"/>
    </row>
    <row r="765" ht="15.75" customHeight="1">
      <c r="C765" s="14"/>
      <c r="D765" s="14"/>
      <c r="G765" s="16"/>
      <c r="H765" s="16"/>
      <c r="I765" s="16"/>
      <c r="J765" s="16"/>
      <c r="K765" s="16"/>
      <c r="L765" s="16"/>
      <c r="P765" s="13"/>
      <c r="Q765" s="14"/>
      <c r="R765" s="13"/>
    </row>
    <row r="766" ht="15.75" customHeight="1">
      <c r="C766" s="14"/>
      <c r="D766" s="14"/>
      <c r="G766" s="16"/>
      <c r="H766" s="16"/>
      <c r="I766" s="16"/>
      <c r="J766" s="16"/>
      <c r="K766" s="16"/>
      <c r="L766" s="16"/>
      <c r="P766" s="13"/>
      <c r="Q766" s="14"/>
      <c r="R766" s="13"/>
    </row>
    <row r="767" ht="15.75" customHeight="1">
      <c r="C767" s="14"/>
      <c r="D767" s="14"/>
      <c r="G767" s="16"/>
      <c r="H767" s="16"/>
      <c r="I767" s="16"/>
      <c r="J767" s="16"/>
      <c r="K767" s="16"/>
      <c r="L767" s="16"/>
      <c r="P767" s="13"/>
      <c r="Q767" s="14"/>
      <c r="R767" s="13"/>
    </row>
    <row r="768" ht="15.75" customHeight="1">
      <c r="C768" s="14"/>
      <c r="D768" s="14"/>
      <c r="G768" s="16"/>
      <c r="H768" s="16"/>
      <c r="I768" s="16"/>
      <c r="J768" s="16"/>
      <c r="K768" s="16"/>
      <c r="L768" s="16"/>
      <c r="P768" s="13"/>
      <c r="Q768" s="14"/>
      <c r="R768" s="13"/>
    </row>
    <row r="769" ht="15.75" customHeight="1">
      <c r="C769" s="14"/>
      <c r="D769" s="14"/>
      <c r="G769" s="16"/>
      <c r="H769" s="16"/>
      <c r="I769" s="16"/>
      <c r="J769" s="16"/>
      <c r="K769" s="16"/>
      <c r="L769" s="16"/>
      <c r="P769" s="13"/>
      <c r="Q769" s="14"/>
      <c r="R769" s="13"/>
    </row>
    <row r="770" ht="15.75" customHeight="1">
      <c r="C770" s="14"/>
      <c r="D770" s="14"/>
      <c r="G770" s="16"/>
      <c r="H770" s="16"/>
      <c r="I770" s="16"/>
      <c r="J770" s="16"/>
      <c r="K770" s="16"/>
      <c r="L770" s="16"/>
      <c r="P770" s="13"/>
      <c r="Q770" s="14"/>
      <c r="R770" s="13"/>
    </row>
    <row r="771" ht="15.75" customHeight="1">
      <c r="C771" s="14"/>
      <c r="D771" s="14"/>
      <c r="G771" s="16"/>
      <c r="H771" s="16"/>
      <c r="I771" s="16"/>
      <c r="J771" s="16"/>
      <c r="K771" s="16"/>
      <c r="L771" s="16"/>
      <c r="P771" s="13"/>
      <c r="Q771" s="14"/>
      <c r="R771" s="13"/>
    </row>
    <row r="772" ht="15.75" customHeight="1">
      <c r="C772" s="14"/>
      <c r="D772" s="14"/>
      <c r="G772" s="16"/>
      <c r="H772" s="16"/>
      <c r="I772" s="16"/>
      <c r="J772" s="16"/>
      <c r="K772" s="16"/>
      <c r="L772" s="16"/>
      <c r="P772" s="13"/>
      <c r="Q772" s="14"/>
      <c r="R772" s="13"/>
    </row>
    <row r="773" ht="15.75" customHeight="1">
      <c r="C773" s="14"/>
      <c r="D773" s="14"/>
      <c r="G773" s="16"/>
      <c r="H773" s="16"/>
      <c r="I773" s="16"/>
      <c r="J773" s="16"/>
      <c r="K773" s="16"/>
      <c r="L773" s="16"/>
      <c r="P773" s="13"/>
      <c r="Q773" s="14"/>
      <c r="R773" s="13"/>
    </row>
    <row r="774" ht="15.75" customHeight="1">
      <c r="C774" s="14"/>
      <c r="D774" s="14"/>
      <c r="G774" s="16"/>
      <c r="H774" s="16"/>
      <c r="I774" s="16"/>
      <c r="J774" s="16"/>
      <c r="K774" s="16"/>
      <c r="L774" s="16"/>
      <c r="P774" s="13"/>
      <c r="Q774" s="14"/>
      <c r="R774" s="13"/>
    </row>
    <row r="775" ht="15.75" customHeight="1">
      <c r="C775" s="14"/>
      <c r="D775" s="14"/>
      <c r="G775" s="16"/>
      <c r="H775" s="16"/>
      <c r="I775" s="16"/>
      <c r="J775" s="16"/>
      <c r="K775" s="16"/>
      <c r="L775" s="16"/>
      <c r="P775" s="13"/>
      <c r="Q775" s="14"/>
      <c r="R775" s="13"/>
    </row>
    <row r="776" ht="15.75" customHeight="1">
      <c r="C776" s="14"/>
      <c r="D776" s="14"/>
      <c r="G776" s="16"/>
      <c r="H776" s="16"/>
      <c r="I776" s="16"/>
      <c r="J776" s="16"/>
      <c r="K776" s="16"/>
      <c r="L776" s="16"/>
      <c r="P776" s="13"/>
      <c r="Q776" s="14"/>
      <c r="R776" s="13"/>
    </row>
    <row r="777" ht="15.75" customHeight="1">
      <c r="C777" s="14"/>
      <c r="D777" s="14"/>
      <c r="G777" s="16"/>
      <c r="H777" s="16"/>
      <c r="I777" s="16"/>
      <c r="J777" s="16"/>
      <c r="K777" s="16"/>
      <c r="L777" s="16"/>
      <c r="P777" s="13"/>
      <c r="Q777" s="14"/>
      <c r="R777" s="13"/>
    </row>
    <row r="778" ht="15.75" customHeight="1">
      <c r="C778" s="14"/>
      <c r="D778" s="14"/>
      <c r="G778" s="16"/>
      <c r="H778" s="16"/>
      <c r="I778" s="16"/>
      <c r="J778" s="16"/>
      <c r="K778" s="16"/>
      <c r="L778" s="16"/>
      <c r="P778" s="13"/>
      <c r="Q778" s="14"/>
      <c r="R778" s="13"/>
    </row>
    <row r="779" ht="15.75" customHeight="1">
      <c r="C779" s="14"/>
      <c r="D779" s="14"/>
      <c r="G779" s="16"/>
      <c r="H779" s="16"/>
      <c r="I779" s="16"/>
      <c r="J779" s="16"/>
      <c r="K779" s="16"/>
      <c r="L779" s="16"/>
      <c r="P779" s="13"/>
      <c r="Q779" s="14"/>
      <c r="R779" s="13"/>
    </row>
    <row r="780" ht="15.75" customHeight="1">
      <c r="C780" s="14"/>
      <c r="D780" s="14"/>
      <c r="G780" s="16"/>
      <c r="H780" s="16"/>
      <c r="I780" s="16"/>
      <c r="J780" s="16"/>
      <c r="K780" s="16"/>
      <c r="L780" s="16"/>
      <c r="P780" s="13"/>
      <c r="Q780" s="14"/>
      <c r="R780" s="13"/>
    </row>
    <row r="781" ht="15.75" customHeight="1">
      <c r="C781" s="14"/>
      <c r="D781" s="14"/>
      <c r="G781" s="16"/>
      <c r="H781" s="16"/>
      <c r="I781" s="16"/>
      <c r="J781" s="16"/>
      <c r="K781" s="16"/>
      <c r="L781" s="16"/>
      <c r="P781" s="13"/>
      <c r="Q781" s="14"/>
      <c r="R781" s="13"/>
    </row>
    <row r="782" ht="15.75" customHeight="1">
      <c r="C782" s="14"/>
      <c r="D782" s="14"/>
      <c r="G782" s="16"/>
      <c r="H782" s="16"/>
      <c r="I782" s="16"/>
      <c r="J782" s="16"/>
      <c r="K782" s="16"/>
      <c r="L782" s="16"/>
      <c r="P782" s="13"/>
      <c r="Q782" s="14"/>
      <c r="R782" s="13"/>
    </row>
    <row r="783" ht="15.75" customHeight="1">
      <c r="C783" s="14"/>
      <c r="D783" s="14"/>
      <c r="G783" s="16"/>
      <c r="H783" s="16"/>
      <c r="I783" s="16"/>
      <c r="J783" s="16"/>
      <c r="K783" s="16"/>
      <c r="L783" s="16"/>
      <c r="P783" s="13"/>
      <c r="Q783" s="14"/>
      <c r="R783" s="13"/>
    </row>
    <row r="784" ht="15.75" customHeight="1">
      <c r="C784" s="14"/>
      <c r="D784" s="14"/>
      <c r="G784" s="16"/>
      <c r="H784" s="16"/>
      <c r="I784" s="16"/>
      <c r="J784" s="16"/>
      <c r="K784" s="16"/>
      <c r="L784" s="16"/>
      <c r="P784" s="13"/>
      <c r="Q784" s="14"/>
      <c r="R784" s="13"/>
    </row>
    <row r="785" ht="15.75" customHeight="1">
      <c r="C785" s="14"/>
      <c r="D785" s="14"/>
      <c r="G785" s="16"/>
      <c r="H785" s="16"/>
      <c r="I785" s="16"/>
      <c r="J785" s="16"/>
      <c r="K785" s="16"/>
      <c r="L785" s="16"/>
      <c r="P785" s="13"/>
      <c r="Q785" s="14"/>
      <c r="R785" s="13"/>
    </row>
    <row r="786" ht="15.75" customHeight="1">
      <c r="C786" s="14"/>
      <c r="D786" s="14"/>
      <c r="G786" s="16"/>
      <c r="H786" s="16"/>
      <c r="I786" s="16"/>
      <c r="J786" s="16"/>
      <c r="K786" s="16"/>
      <c r="L786" s="16"/>
      <c r="P786" s="13"/>
      <c r="Q786" s="14"/>
      <c r="R786" s="13"/>
    </row>
    <row r="787" ht="15.75" customHeight="1">
      <c r="C787" s="14"/>
      <c r="D787" s="14"/>
      <c r="G787" s="16"/>
      <c r="H787" s="16"/>
      <c r="I787" s="16"/>
      <c r="J787" s="16"/>
      <c r="K787" s="16"/>
      <c r="L787" s="16"/>
      <c r="P787" s="13"/>
      <c r="Q787" s="14"/>
      <c r="R787" s="13"/>
    </row>
    <row r="788" ht="15.75" customHeight="1">
      <c r="C788" s="14"/>
      <c r="D788" s="14"/>
      <c r="G788" s="16"/>
      <c r="H788" s="16"/>
      <c r="I788" s="16"/>
      <c r="J788" s="16"/>
      <c r="K788" s="16"/>
      <c r="L788" s="16"/>
      <c r="P788" s="13"/>
      <c r="Q788" s="14"/>
      <c r="R788" s="13"/>
    </row>
    <row r="789" ht="15.75" customHeight="1">
      <c r="C789" s="14"/>
      <c r="D789" s="14"/>
      <c r="G789" s="16"/>
      <c r="H789" s="16"/>
      <c r="I789" s="16"/>
      <c r="J789" s="16"/>
      <c r="K789" s="16"/>
      <c r="L789" s="16"/>
      <c r="P789" s="13"/>
      <c r="Q789" s="14"/>
      <c r="R789" s="13"/>
    </row>
    <row r="790" ht="15.75" customHeight="1">
      <c r="C790" s="14"/>
      <c r="D790" s="14"/>
      <c r="G790" s="16"/>
      <c r="H790" s="16"/>
      <c r="I790" s="16"/>
      <c r="J790" s="16"/>
      <c r="K790" s="16"/>
      <c r="L790" s="16"/>
      <c r="P790" s="13"/>
      <c r="Q790" s="14"/>
      <c r="R790" s="13"/>
    </row>
    <row r="791" ht="15.75" customHeight="1">
      <c r="C791" s="14"/>
      <c r="D791" s="14"/>
      <c r="G791" s="16"/>
      <c r="H791" s="16"/>
      <c r="I791" s="16"/>
      <c r="J791" s="16"/>
      <c r="K791" s="16"/>
      <c r="L791" s="16"/>
      <c r="P791" s="13"/>
      <c r="Q791" s="14"/>
      <c r="R791" s="13"/>
    </row>
    <row r="792" ht="15.75" customHeight="1">
      <c r="C792" s="14"/>
      <c r="D792" s="14"/>
      <c r="G792" s="16"/>
      <c r="H792" s="16"/>
      <c r="I792" s="16"/>
      <c r="J792" s="16"/>
      <c r="K792" s="16"/>
      <c r="L792" s="16"/>
      <c r="P792" s="13"/>
      <c r="Q792" s="14"/>
      <c r="R792" s="13"/>
    </row>
    <row r="793" ht="15.75" customHeight="1">
      <c r="C793" s="14"/>
      <c r="D793" s="14"/>
      <c r="G793" s="16"/>
      <c r="H793" s="16"/>
      <c r="I793" s="16"/>
      <c r="J793" s="16"/>
      <c r="K793" s="16"/>
      <c r="L793" s="16"/>
      <c r="P793" s="13"/>
      <c r="Q793" s="14"/>
      <c r="R793" s="13"/>
    </row>
    <row r="794" ht="15.75" customHeight="1">
      <c r="C794" s="14"/>
      <c r="D794" s="14"/>
      <c r="G794" s="16"/>
      <c r="H794" s="16"/>
      <c r="I794" s="16"/>
      <c r="J794" s="16"/>
      <c r="K794" s="16"/>
      <c r="L794" s="16"/>
      <c r="P794" s="13"/>
      <c r="Q794" s="14"/>
      <c r="R794" s="13"/>
    </row>
    <row r="795" ht="15.75" customHeight="1">
      <c r="C795" s="14"/>
      <c r="D795" s="14"/>
      <c r="G795" s="16"/>
      <c r="H795" s="16"/>
      <c r="I795" s="16"/>
      <c r="J795" s="16"/>
      <c r="K795" s="16"/>
      <c r="L795" s="16"/>
      <c r="P795" s="13"/>
      <c r="Q795" s="14"/>
      <c r="R795" s="13"/>
    </row>
    <row r="796" ht="15.75" customHeight="1">
      <c r="C796" s="14"/>
      <c r="D796" s="14"/>
      <c r="G796" s="16"/>
      <c r="H796" s="16"/>
      <c r="I796" s="16"/>
      <c r="J796" s="16"/>
      <c r="K796" s="16"/>
      <c r="L796" s="16"/>
      <c r="P796" s="13"/>
      <c r="Q796" s="14"/>
      <c r="R796" s="13"/>
    </row>
    <row r="797" ht="15.75" customHeight="1">
      <c r="C797" s="14"/>
      <c r="D797" s="14"/>
      <c r="G797" s="16"/>
      <c r="H797" s="16"/>
      <c r="I797" s="16"/>
      <c r="J797" s="16"/>
      <c r="K797" s="16"/>
      <c r="L797" s="16"/>
      <c r="P797" s="13"/>
      <c r="Q797" s="14"/>
      <c r="R797" s="13"/>
    </row>
    <row r="798" ht="15.75" customHeight="1">
      <c r="C798" s="14"/>
      <c r="D798" s="14"/>
      <c r="G798" s="16"/>
      <c r="H798" s="16"/>
      <c r="I798" s="16"/>
      <c r="J798" s="16"/>
      <c r="K798" s="16"/>
      <c r="L798" s="16"/>
      <c r="P798" s="13"/>
      <c r="Q798" s="14"/>
      <c r="R798" s="13"/>
    </row>
    <row r="799" ht="15.75" customHeight="1">
      <c r="C799" s="14"/>
      <c r="D799" s="14"/>
      <c r="G799" s="16"/>
      <c r="H799" s="16"/>
      <c r="I799" s="16"/>
      <c r="J799" s="16"/>
      <c r="K799" s="16"/>
      <c r="L799" s="16"/>
      <c r="P799" s="13"/>
      <c r="Q799" s="14"/>
      <c r="R799" s="13"/>
    </row>
    <row r="800" ht="15.75" customHeight="1">
      <c r="C800" s="14"/>
      <c r="D800" s="14"/>
      <c r="G800" s="16"/>
      <c r="H800" s="16"/>
      <c r="I800" s="16"/>
      <c r="J800" s="16"/>
      <c r="K800" s="16"/>
      <c r="L800" s="16"/>
      <c r="P800" s="13"/>
      <c r="Q800" s="14"/>
      <c r="R800" s="13"/>
    </row>
    <row r="801" ht="15.75" customHeight="1">
      <c r="C801" s="14"/>
      <c r="D801" s="14"/>
      <c r="G801" s="16"/>
      <c r="H801" s="16"/>
      <c r="I801" s="16"/>
      <c r="J801" s="16"/>
      <c r="K801" s="16"/>
      <c r="L801" s="16"/>
      <c r="P801" s="13"/>
      <c r="Q801" s="14"/>
      <c r="R801" s="13"/>
    </row>
    <row r="802" ht="15.75" customHeight="1">
      <c r="C802" s="14"/>
      <c r="D802" s="14"/>
      <c r="G802" s="16"/>
      <c r="H802" s="16"/>
      <c r="I802" s="16"/>
      <c r="J802" s="16"/>
      <c r="K802" s="16"/>
      <c r="L802" s="16"/>
      <c r="P802" s="13"/>
      <c r="Q802" s="14"/>
      <c r="R802" s="13"/>
    </row>
    <row r="803" ht="15.75" customHeight="1">
      <c r="C803" s="14"/>
      <c r="D803" s="14"/>
      <c r="G803" s="16"/>
      <c r="H803" s="16"/>
      <c r="I803" s="16"/>
      <c r="J803" s="16"/>
      <c r="K803" s="16"/>
      <c r="L803" s="16"/>
      <c r="P803" s="13"/>
      <c r="Q803" s="14"/>
      <c r="R803" s="13"/>
    </row>
    <row r="804" ht="15.75" customHeight="1">
      <c r="C804" s="14"/>
      <c r="D804" s="14"/>
      <c r="G804" s="16"/>
      <c r="H804" s="16"/>
      <c r="I804" s="16"/>
      <c r="J804" s="16"/>
      <c r="K804" s="16"/>
      <c r="L804" s="16"/>
      <c r="P804" s="13"/>
      <c r="Q804" s="14"/>
      <c r="R804" s="13"/>
    </row>
    <row r="805" ht="15.75" customHeight="1">
      <c r="C805" s="14"/>
      <c r="D805" s="14"/>
      <c r="G805" s="16"/>
      <c r="H805" s="16"/>
      <c r="I805" s="16"/>
      <c r="J805" s="16"/>
      <c r="K805" s="16"/>
      <c r="L805" s="16"/>
      <c r="P805" s="13"/>
      <c r="Q805" s="14"/>
      <c r="R805" s="13"/>
    </row>
    <row r="806" ht="15.75" customHeight="1">
      <c r="C806" s="14"/>
      <c r="D806" s="14"/>
      <c r="G806" s="16"/>
      <c r="H806" s="16"/>
      <c r="I806" s="16"/>
      <c r="J806" s="16"/>
      <c r="K806" s="16"/>
      <c r="L806" s="16"/>
      <c r="P806" s="13"/>
      <c r="Q806" s="14"/>
      <c r="R806" s="13"/>
    </row>
    <row r="807" ht="15.75" customHeight="1">
      <c r="C807" s="14"/>
      <c r="D807" s="14"/>
      <c r="G807" s="16"/>
      <c r="H807" s="16"/>
      <c r="I807" s="16"/>
      <c r="J807" s="16"/>
      <c r="K807" s="16"/>
      <c r="L807" s="16"/>
      <c r="P807" s="13"/>
      <c r="Q807" s="14"/>
      <c r="R807" s="13"/>
    </row>
    <row r="808" ht="15.75" customHeight="1">
      <c r="C808" s="14"/>
      <c r="D808" s="14"/>
      <c r="G808" s="16"/>
      <c r="H808" s="16"/>
      <c r="I808" s="16"/>
      <c r="J808" s="16"/>
      <c r="K808" s="16"/>
      <c r="L808" s="16"/>
      <c r="P808" s="13"/>
      <c r="Q808" s="14"/>
      <c r="R808" s="13"/>
    </row>
    <row r="809" ht="15.75" customHeight="1">
      <c r="C809" s="14"/>
      <c r="D809" s="14"/>
      <c r="G809" s="16"/>
      <c r="H809" s="16"/>
      <c r="I809" s="16"/>
      <c r="J809" s="16"/>
      <c r="K809" s="16"/>
      <c r="L809" s="16"/>
      <c r="P809" s="13"/>
      <c r="Q809" s="14"/>
      <c r="R809" s="13"/>
    </row>
    <row r="810" ht="15.75" customHeight="1">
      <c r="C810" s="14"/>
      <c r="D810" s="14"/>
      <c r="G810" s="16"/>
      <c r="H810" s="16"/>
      <c r="I810" s="16"/>
      <c r="J810" s="16"/>
      <c r="K810" s="16"/>
      <c r="L810" s="16"/>
      <c r="P810" s="13"/>
      <c r="Q810" s="14"/>
      <c r="R810" s="13"/>
    </row>
    <row r="811" ht="15.75" customHeight="1">
      <c r="C811" s="14"/>
      <c r="D811" s="14"/>
      <c r="G811" s="16"/>
      <c r="H811" s="16"/>
      <c r="I811" s="16"/>
      <c r="J811" s="16"/>
      <c r="K811" s="16"/>
      <c r="L811" s="16"/>
      <c r="P811" s="13"/>
      <c r="Q811" s="14"/>
      <c r="R811" s="13"/>
    </row>
    <row r="812" ht="15.75" customHeight="1">
      <c r="C812" s="14"/>
      <c r="D812" s="14"/>
      <c r="G812" s="16"/>
      <c r="H812" s="16"/>
      <c r="I812" s="16"/>
      <c r="J812" s="16"/>
      <c r="K812" s="16"/>
      <c r="L812" s="16"/>
      <c r="P812" s="13"/>
      <c r="Q812" s="14"/>
      <c r="R812" s="13"/>
    </row>
    <row r="813" ht="15.75" customHeight="1">
      <c r="C813" s="14"/>
      <c r="D813" s="14"/>
      <c r="G813" s="16"/>
      <c r="H813" s="16"/>
      <c r="I813" s="16"/>
      <c r="J813" s="16"/>
      <c r="K813" s="16"/>
      <c r="L813" s="16"/>
      <c r="P813" s="13"/>
      <c r="Q813" s="14"/>
      <c r="R813" s="13"/>
    </row>
    <row r="814" ht="15.75" customHeight="1">
      <c r="C814" s="14"/>
      <c r="D814" s="14"/>
      <c r="G814" s="16"/>
      <c r="H814" s="16"/>
      <c r="I814" s="16"/>
      <c r="J814" s="16"/>
      <c r="K814" s="16"/>
      <c r="L814" s="16"/>
      <c r="P814" s="13"/>
      <c r="Q814" s="14"/>
      <c r="R814" s="13"/>
    </row>
    <row r="815" ht="15.75" customHeight="1">
      <c r="C815" s="14"/>
      <c r="D815" s="14"/>
      <c r="G815" s="16"/>
      <c r="H815" s="16"/>
      <c r="I815" s="16"/>
      <c r="J815" s="16"/>
      <c r="K815" s="16"/>
      <c r="L815" s="16"/>
      <c r="P815" s="13"/>
      <c r="Q815" s="14"/>
      <c r="R815" s="13"/>
    </row>
    <row r="816" ht="15.75" customHeight="1">
      <c r="C816" s="14"/>
      <c r="D816" s="14"/>
      <c r="G816" s="16"/>
      <c r="H816" s="16"/>
      <c r="I816" s="16"/>
      <c r="J816" s="16"/>
      <c r="K816" s="16"/>
      <c r="L816" s="16"/>
      <c r="P816" s="13"/>
      <c r="Q816" s="14"/>
      <c r="R816" s="13"/>
    </row>
    <row r="817" ht="15.75" customHeight="1">
      <c r="C817" s="14"/>
      <c r="D817" s="14"/>
      <c r="G817" s="16"/>
      <c r="H817" s="16"/>
      <c r="I817" s="16"/>
      <c r="J817" s="16"/>
      <c r="K817" s="16"/>
      <c r="L817" s="16"/>
      <c r="P817" s="13"/>
      <c r="Q817" s="14"/>
      <c r="R817" s="13"/>
    </row>
    <row r="818" ht="15.75" customHeight="1">
      <c r="C818" s="14"/>
      <c r="D818" s="14"/>
      <c r="G818" s="16"/>
      <c r="H818" s="16"/>
      <c r="I818" s="16"/>
      <c r="J818" s="16"/>
      <c r="K818" s="16"/>
      <c r="L818" s="16"/>
      <c r="P818" s="13"/>
      <c r="Q818" s="14"/>
      <c r="R818" s="13"/>
    </row>
    <row r="819" ht="15.75" customHeight="1">
      <c r="C819" s="14"/>
      <c r="D819" s="14"/>
      <c r="G819" s="16"/>
      <c r="H819" s="16"/>
      <c r="I819" s="16"/>
      <c r="J819" s="16"/>
      <c r="K819" s="16"/>
      <c r="L819" s="16"/>
      <c r="P819" s="13"/>
      <c r="Q819" s="14"/>
      <c r="R819" s="13"/>
    </row>
    <row r="820" ht="15.75" customHeight="1">
      <c r="C820" s="14"/>
      <c r="D820" s="14"/>
      <c r="G820" s="16"/>
      <c r="H820" s="16"/>
      <c r="I820" s="16"/>
      <c r="J820" s="16"/>
      <c r="K820" s="16"/>
      <c r="L820" s="16"/>
      <c r="P820" s="13"/>
      <c r="Q820" s="14"/>
      <c r="R820" s="13"/>
    </row>
    <row r="821" ht="15.75" customHeight="1">
      <c r="C821" s="14"/>
      <c r="D821" s="14"/>
      <c r="G821" s="16"/>
      <c r="H821" s="16"/>
      <c r="I821" s="16"/>
      <c r="J821" s="16"/>
      <c r="K821" s="16"/>
      <c r="L821" s="16"/>
      <c r="P821" s="13"/>
      <c r="Q821" s="14"/>
      <c r="R821" s="13"/>
    </row>
    <row r="822" ht="15.75" customHeight="1">
      <c r="C822" s="14"/>
      <c r="D822" s="14"/>
      <c r="G822" s="16"/>
      <c r="H822" s="16"/>
      <c r="I822" s="16"/>
      <c r="J822" s="16"/>
      <c r="K822" s="16"/>
      <c r="L822" s="16"/>
      <c r="P822" s="13"/>
      <c r="Q822" s="14"/>
      <c r="R822" s="13"/>
    </row>
    <row r="823" ht="15.75" customHeight="1">
      <c r="C823" s="14"/>
      <c r="D823" s="14"/>
      <c r="G823" s="16"/>
      <c r="H823" s="16"/>
      <c r="I823" s="16"/>
      <c r="J823" s="16"/>
      <c r="K823" s="16"/>
      <c r="L823" s="16"/>
      <c r="P823" s="13"/>
      <c r="Q823" s="14"/>
      <c r="R823" s="13"/>
    </row>
    <row r="824" ht="15.75" customHeight="1">
      <c r="C824" s="14"/>
      <c r="D824" s="14"/>
      <c r="G824" s="16"/>
      <c r="H824" s="16"/>
      <c r="I824" s="16"/>
      <c r="J824" s="16"/>
      <c r="K824" s="16"/>
      <c r="L824" s="16"/>
      <c r="P824" s="13"/>
      <c r="Q824" s="14"/>
      <c r="R824" s="13"/>
    </row>
    <row r="825" ht="15.75" customHeight="1">
      <c r="C825" s="14"/>
      <c r="D825" s="14"/>
      <c r="G825" s="16"/>
      <c r="H825" s="16"/>
      <c r="I825" s="16"/>
      <c r="J825" s="16"/>
      <c r="K825" s="16"/>
      <c r="L825" s="16"/>
      <c r="P825" s="13"/>
      <c r="Q825" s="14"/>
      <c r="R825" s="13"/>
    </row>
    <row r="826" ht="15.75" customHeight="1">
      <c r="C826" s="14"/>
      <c r="D826" s="14"/>
      <c r="G826" s="16"/>
      <c r="H826" s="16"/>
      <c r="I826" s="16"/>
      <c r="J826" s="16"/>
      <c r="K826" s="16"/>
      <c r="L826" s="16"/>
      <c r="P826" s="13"/>
      <c r="Q826" s="14"/>
      <c r="R826" s="13"/>
    </row>
    <row r="827" ht="15.75" customHeight="1">
      <c r="C827" s="14"/>
      <c r="D827" s="14"/>
      <c r="G827" s="16"/>
      <c r="H827" s="16"/>
      <c r="I827" s="16"/>
      <c r="J827" s="16"/>
      <c r="K827" s="16"/>
      <c r="L827" s="16"/>
      <c r="P827" s="13"/>
      <c r="Q827" s="14"/>
      <c r="R827" s="13"/>
    </row>
    <row r="828" ht="15.75" customHeight="1">
      <c r="C828" s="14"/>
      <c r="D828" s="14"/>
      <c r="G828" s="16"/>
      <c r="H828" s="16"/>
      <c r="I828" s="16"/>
      <c r="J828" s="16"/>
      <c r="K828" s="16"/>
      <c r="L828" s="16"/>
      <c r="P828" s="13"/>
      <c r="Q828" s="14"/>
      <c r="R828" s="13"/>
    </row>
    <row r="829" ht="15.75" customHeight="1">
      <c r="C829" s="14"/>
      <c r="D829" s="14"/>
      <c r="G829" s="16"/>
      <c r="H829" s="16"/>
      <c r="I829" s="16"/>
      <c r="J829" s="16"/>
      <c r="K829" s="16"/>
      <c r="L829" s="16"/>
      <c r="P829" s="13"/>
      <c r="Q829" s="14"/>
      <c r="R829" s="13"/>
    </row>
    <row r="830" ht="15.75" customHeight="1">
      <c r="C830" s="14"/>
      <c r="D830" s="14"/>
      <c r="G830" s="16"/>
      <c r="H830" s="16"/>
      <c r="I830" s="16"/>
      <c r="J830" s="16"/>
      <c r="K830" s="16"/>
      <c r="L830" s="16"/>
      <c r="P830" s="13"/>
      <c r="Q830" s="14"/>
      <c r="R830" s="13"/>
    </row>
    <row r="831" ht="15.75" customHeight="1">
      <c r="C831" s="14"/>
      <c r="D831" s="14"/>
      <c r="G831" s="16"/>
      <c r="H831" s="16"/>
      <c r="I831" s="16"/>
      <c r="J831" s="16"/>
      <c r="K831" s="16"/>
      <c r="L831" s="16"/>
      <c r="P831" s="13"/>
      <c r="Q831" s="14"/>
      <c r="R831" s="13"/>
    </row>
    <row r="832" ht="15.75" customHeight="1">
      <c r="C832" s="14"/>
      <c r="D832" s="14"/>
      <c r="G832" s="16"/>
      <c r="H832" s="16"/>
      <c r="I832" s="16"/>
      <c r="J832" s="16"/>
      <c r="K832" s="16"/>
      <c r="L832" s="16"/>
      <c r="P832" s="13"/>
      <c r="Q832" s="14"/>
      <c r="R832" s="13"/>
    </row>
    <row r="833" ht="15.75" customHeight="1">
      <c r="C833" s="14"/>
      <c r="D833" s="14"/>
      <c r="G833" s="16"/>
      <c r="H833" s="16"/>
      <c r="I833" s="16"/>
      <c r="J833" s="16"/>
      <c r="K833" s="16"/>
      <c r="L833" s="16"/>
      <c r="P833" s="13"/>
      <c r="Q833" s="14"/>
      <c r="R833" s="13"/>
    </row>
    <row r="834" ht="15.75" customHeight="1">
      <c r="C834" s="14"/>
      <c r="D834" s="14"/>
      <c r="G834" s="16"/>
      <c r="H834" s="16"/>
      <c r="I834" s="16"/>
      <c r="J834" s="16"/>
      <c r="K834" s="16"/>
      <c r="L834" s="16"/>
      <c r="P834" s="13"/>
      <c r="Q834" s="14"/>
      <c r="R834" s="13"/>
    </row>
    <row r="835" ht="15.75" customHeight="1">
      <c r="C835" s="14"/>
      <c r="D835" s="14"/>
      <c r="G835" s="16"/>
      <c r="H835" s="16"/>
      <c r="I835" s="16"/>
      <c r="J835" s="16"/>
      <c r="K835" s="16"/>
      <c r="L835" s="16"/>
      <c r="P835" s="13"/>
      <c r="Q835" s="14"/>
      <c r="R835" s="13"/>
    </row>
    <row r="836" ht="15.75" customHeight="1">
      <c r="C836" s="14"/>
      <c r="D836" s="14"/>
      <c r="G836" s="16"/>
      <c r="H836" s="16"/>
      <c r="I836" s="16"/>
      <c r="J836" s="16"/>
      <c r="K836" s="16"/>
      <c r="L836" s="16"/>
      <c r="P836" s="13"/>
      <c r="Q836" s="14"/>
      <c r="R836" s="13"/>
    </row>
    <row r="837" ht="15.75" customHeight="1">
      <c r="C837" s="14"/>
      <c r="D837" s="14"/>
      <c r="G837" s="16"/>
      <c r="H837" s="16"/>
      <c r="I837" s="16"/>
      <c r="J837" s="16"/>
      <c r="K837" s="16"/>
      <c r="L837" s="16"/>
      <c r="P837" s="13"/>
      <c r="Q837" s="14"/>
      <c r="R837" s="13"/>
    </row>
    <row r="838" ht="15.75" customHeight="1">
      <c r="C838" s="14"/>
      <c r="D838" s="14"/>
      <c r="G838" s="16"/>
      <c r="H838" s="16"/>
      <c r="I838" s="16"/>
      <c r="J838" s="16"/>
      <c r="K838" s="16"/>
      <c r="L838" s="16"/>
      <c r="P838" s="13"/>
      <c r="Q838" s="14"/>
      <c r="R838" s="13"/>
    </row>
    <row r="839" ht="15.75" customHeight="1">
      <c r="C839" s="14"/>
      <c r="D839" s="14"/>
      <c r="G839" s="16"/>
      <c r="H839" s="16"/>
      <c r="I839" s="16"/>
      <c r="J839" s="16"/>
      <c r="K839" s="16"/>
      <c r="L839" s="16"/>
      <c r="P839" s="13"/>
      <c r="Q839" s="14"/>
      <c r="R839" s="13"/>
    </row>
    <row r="840" ht="15.75" customHeight="1">
      <c r="C840" s="14"/>
      <c r="D840" s="14"/>
      <c r="G840" s="16"/>
      <c r="H840" s="16"/>
      <c r="I840" s="16"/>
      <c r="J840" s="16"/>
      <c r="K840" s="16"/>
      <c r="L840" s="16"/>
      <c r="P840" s="13"/>
      <c r="Q840" s="14"/>
      <c r="R840" s="13"/>
    </row>
    <row r="841" ht="15.75" customHeight="1">
      <c r="C841" s="14"/>
      <c r="D841" s="14"/>
      <c r="G841" s="16"/>
      <c r="H841" s="16"/>
      <c r="I841" s="16"/>
      <c r="J841" s="16"/>
      <c r="K841" s="16"/>
      <c r="L841" s="16"/>
      <c r="P841" s="13"/>
      <c r="Q841" s="14"/>
      <c r="R841" s="13"/>
    </row>
    <row r="842" ht="15.75" customHeight="1">
      <c r="C842" s="14"/>
      <c r="D842" s="14"/>
      <c r="G842" s="16"/>
      <c r="H842" s="16"/>
      <c r="I842" s="16"/>
      <c r="J842" s="16"/>
      <c r="K842" s="16"/>
      <c r="L842" s="16"/>
      <c r="P842" s="13"/>
      <c r="Q842" s="14"/>
      <c r="R842" s="13"/>
    </row>
    <row r="843" ht="15.75" customHeight="1">
      <c r="C843" s="14"/>
      <c r="D843" s="14"/>
      <c r="G843" s="16"/>
      <c r="H843" s="16"/>
      <c r="I843" s="16"/>
      <c r="J843" s="16"/>
      <c r="K843" s="16"/>
      <c r="L843" s="16"/>
      <c r="P843" s="13"/>
      <c r="Q843" s="14"/>
      <c r="R843" s="13"/>
    </row>
    <row r="844" ht="15.75" customHeight="1">
      <c r="C844" s="14"/>
      <c r="D844" s="14"/>
      <c r="G844" s="16"/>
      <c r="H844" s="16"/>
      <c r="I844" s="16"/>
      <c r="J844" s="16"/>
      <c r="K844" s="16"/>
      <c r="L844" s="16"/>
      <c r="P844" s="13"/>
      <c r="Q844" s="14"/>
      <c r="R844" s="13"/>
    </row>
    <row r="845" ht="15.75" customHeight="1">
      <c r="C845" s="14"/>
      <c r="D845" s="14"/>
      <c r="G845" s="16"/>
      <c r="H845" s="16"/>
      <c r="I845" s="16"/>
      <c r="J845" s="16"/>
      <c r="K845" s="16"/>
      <c r="L845" s="16"/>
      <c r="P845" s="13"/>
      <c r="Q845" s="14"/>
      <c r="R845" s="13"/>
    </row>
    <row r="846" ht="15.75" customHeight="1">
      <c r="C846" s="14"/>
      <c r="D846" s="14"/>
      <c r="G846" s="16"/>
      <c r="H846" s="16"/>
      <c r="I846" s="16"/>
      <c r="J846" s="16"/>
      <c r="K846" s="16"/>
      <c r="L846" s="16"/>
      <c r="P846" s="13"/>
      <c r="Q846" s="14"/>
      <c r="R846" s="13"/>
    </row>
    <row r="847" ht="15.75" customHeight="1">
      <c r="C847" s="14"/>
      <c r="D847" s="14"/>
      <c r="G847" s="16"/>
      <c r="H847" s="16"/>
      <c r="I847" s="16"/>
      <c r="J847" s="16"/>
      <c r="K847" s="16"/>
      <c r="L847" s="16"/>
      <c r="P847" s="13"/>
      <c r="Q847" s="14"/>
      <c r="R847" s="13"/>
    </row>
    <row r="848" ht="15.75" customHeight="1">
      <c r="C848" s="14"/>
      <c r="D848" s="14"/>
      <c r="G848" s="16"/>
      <c r="H848" s="16"/>
      <c r="I848" s="16"/>
      <c r="J848" s="16"/>
      <c r="K848" s="16"/>
      <c r="L848" s="16"/>
      <c r="P848" s="13"/>
      <c r="Q848" s="14"/>
      <c r="R848" s="13"/>
    </row>
    <row r="849" ht="15.75" customHeight="1">
      <c r="C849" s="14"/>
      <c r="D849" s="14"/>
      <c r="G849" s="16"/>
      <c r="H849" s="16"/>
      <c r="I849" s="16"/>
      <c r="J849" s="16"/>
      <c r="K849" s="16"/>
      <c r="L849" s="16"/>
      <c r="P849" s="13"/>
      <c r="Q849" s="14"/>
      <c r="R849" s="13"/>
    </row>
    <row r="850" ht="15.75" customHeight="1">
      <c r="C850" s="14"/>
      <c r="D850" s="14"/>
      <c r="G850" s="16"/>
      <c r="H850" s="16"/>
      <c r="I850" s="16"/>
      <c r="J850" s="16"/>
      <c r="K850" s="16"/>
      <c r="L850" s="16"/>
      <c r="P850" s="13"/>
      <c r="Q850" s="14"/>
      <c r="R850" s="13"/>
    </row>
    <row r="851" ht="15.75" customHeight="1">
      <c r="C851" s="14"/>
      <c r="D851" s="14"/>
      <c r="G851" s="16"/>
      <c r="H851" s="16"/>
      <c r="I851" s="16"/>
      <c r="J851" s="16"/>
      <c r="K851" s="16"/>
      <c r="L851" s="16"/>
      <c r="P851" s="13"/>
      <c r="Q851" s="14"/>
      <c r="R851" s="13"/>
    </row>
    <row r="852" ht="15.75" customHeight="1">
      <c r="C852" s="14"/>
      <c r="D852" s="14"/>
      <c r="G852" s="16"/>
      <c r="H852" s="16"/>
      <c r="I852" s="16"/>
      <c r="J852" s="16"/>
      <c r="K852" s="16"/>
      <c r="L852" s="16"/>
      <c r="P852" s="13"/>
      <c r="Q852" s="14"/>
      <c r="R852" s="13"/>
    </row>
    <row r="853" ht="15.75" customHeight="1">
      <c r="C853" s="14"/>
      <c r="D853" s="14"/>
      <c r="G853" s="16"/>
      <c r="H853" s="16"/>
      <c r="I853" s="16"/>
      <c r="J853" s="16"/>
      <c r="K853" s="16"/>
      <c r="L853" s="16"/>
      <c r="P853" s="13"/>
      <c r="Q853" s="14"/>
      <c r="R853" s="13"/>
    </row>
    <row r="854" ht="15.75" customHeight="1">
      <c r="C854" s="14"/>
      <c r="D854" s="14"/>
      <c r="G854" s="16"/>
      <c r="H854" s="16"/>
      <c r="I854" s="16"/>
      <c r="J854" s="16"/>
      <c r="K854" s="16"/>
      <c r="L854" s="16"/>
      <c r="P854" s="13"/>
      <c r="Q854" s="14"/>
      <c r="R854" s="13"/>
    </row>
    <row r="855" ht="15.75" customHeight="1">
      <c r="C855" s="14"/>
      <c r="D855" s="14"/>
      <c r="G855" s="16"/>
      <c r="H855" s="16"/>
      <c r="I855" s="16"/>
      <c r="J855" s="16"/>
      <c r="K855" s="16"/>
      <c r="L855" s="16"/>
      <c r="P855" s="13"/>
      <c r="Q855" s="14"/>
      <c r="R855" s="13"/>
    </row>
    <row r="856" ht="15.75" customHeight="1">
      <c r="C856" s="14"/>
      <c r="D856" s="14"/>
      <c r="G856" s="16"/>
      <c r="H856" s="16"/>
      <c r="I856" s="16"/>
      <c r="J856" s="16"/>
      <c r="K856" s="16"/>
      <c r="L856" s="16"/>
      <c r="P856" s="13"/>
      <c r="Q856" s="14"/>
      <c r="R856" s="13"/>
    </row>
    <row r="857" ht="15.75" customHeight="1">
      <c r="C857" s="14"/>
      <c r="D857" s="14"/>
      <c r="G857" s="16"/>
      <c r="H857" s="16"/>
      <c r="I857" s="16"/>
      <c r="J857" s="16"/>
      <c r="K857" s="16"/>
      <c r="L857" s="16"/>
      <c r="P857" s="13"/>
      <c r="Q857" s="14"/>
      <c r="R857" s="13"/>
    </row>
    <row r="858" ht="15.75" customHeight="1">
      <c r="C858" s="14"/>
      <c r="D858" s="14"/>
      <c r="G858" s="16"/>
      <c r="H858" s="16"/>
      <c r="I858" s="16"/>
      <c r="J858" s="16"/>
      <c r="K858" s="16"/>
      <c r="L858" s="16"/>
      <c r="P858" s="13"/>
      <c r="Q858" s="14"/>
      <c r="R858" s="13"/>
    </row>
    <row r="859" ht="15.75" customHeight="1">
      <c r="C859" s="14"/>
      <c r="D859" s="14"/>
      <c r="G859" s="16"/>
      <c r="H859" s="16"/>
      <c r="I859" s="16"/>
      <c r="J859" s="16"/>
      <c r="K859" s="16"/>
      <c r="L859" s="16"/>
      <c r="P859" s="13"/>
      <c r="Q859" s="14"/>
      <c r="R859" s="13"/>
    </row>
    <row r="860" ht="15.75" customHeight="1">
      <c r="C860" s="14"/>
      <c r="D860" s="14"/>
      <c r="G860" s="16"/>
      <c r="H860" s="16"/>
      <c r="I860" s="16"/>
      <c r="J860" s="16"/>
      <c r="K860" s="16"/>
      <c r="L860" s="16"/>
      <c r="P860" s="13"/>
      <c r="Q860" s="14"/>
      <c r="R860" s="13"/>
    </row>
    <row r="861" ht="15.75" customHeight="1">
      <c r="C861" s="14"/>
      <c r="D861" s="14"/>
      <c r="G861" s="16"/>
      <c r="H861" s="16"/>
      <c r="I861" s="16"/>
      <c r="J861" s="16"/>
      <c r="K861" s="16"/>
      <c r="L861" s="16"/>
      <c r="P861" s="13"/>
      <c r="Q861" s="14"/>
      <c r="R861" s="13"/>
    </row>
    <row r="862" ht="15.75" customHeight="1">
      <c r="C862" s="14"/>
      <c r="D862" s="14"/>
      <c r="G862" s="16"/>
      <c r="H862" s="16"/>
      <c r="I862" s="16"/>
      <c r="J862" s="16"/>
      <c r="K862" s="16"/>
      <c r="L862" s="16"/>
      <c r="P862" s="13"/>
      <c r="Q862" s="14"/>
      <c r="R862" s="13"/>
    </row>
    <row r="863" ht="15.75" customHeight="1">
      <c r="C863" s="14"/>
      <c r="D863" s="14"/>
      <c r="G863" s="16"/>
      <c r="H863" s="16"/>
      <c r="I863" s="16"/>
      <c r="J863" s="16"/>
      <c r="K863" s="16"/>
      <c r="L863" s="16"/>
      <c r="P863" s="13"/>
      <c r="Q863" s="14"/>
      <c r="R863" s="13"/>
    </row>
    <row r="864" ht="15.75" customHeight="1">
      <c r="C864" s="14"/>
      <c r="D864" s="14"/>
      <c r="G864" s="16"/>
      <c r="H864" s="16"/>
      <c r="I864" s="16"/>
      <c r="J864" s="16"/>
      <c r="K864" s="16"/>
      <c r="L864" s="16"/>
      <c r="P864" s="13"/>
      <c r="Q864" s="14"/>
      <c r="R864" s="13"/>
    </row>
    <row r="865" ht="15.75" customHeight="1">
      <c r="C865" s="14"/>
      <c r="D865" s="14"/>
      <c r="G865" s="16"/>
      <c r="H865" s="16"/>
      <c r="I865" s="16"/>
      <c r="J865" s="16"/>
      <c r="K865" s="16"/>
      <c r="L865" s="16"/>
      <c r="P865" s="13"/>
      <c r="Q865" s="14"/>
      <c r="R865" s="13"/>
    </row>
    <row r="866" ht="15.75" customHeight="1">
      <c r="C866" s="14"/>
      <c r="D866" s="14"/>
      <c r="G866" s="16"/>
      <c r="H866" s="16"/>
      <c r="I866" s="16"/>
      <c r="J866" s="16"/>
      <c r="K866" s="16"/>
      <c r="L866" s="16"/>
      <c r="P866" s="13"/>
      <c r="Q866" s="14"/>
      <c r="R866" s="13"/>
    </row>
    <row r="867" ht="15.75" customHeight="1">
      <c r="C867" s="14"/>
      <c r="D867" s="14"/>
      <c r="G867" s="16"/>
      <c r="H867" s="16"/>
      <c r="I867" s="16"/>
      <c r="J867" s="16"/>
      <c r="K867" s="16"/>
      <c r="L867" s="16"/>
      <c r="P867" s="13"/>
      <c r="Q867" s="14"/>
      <c r="R867" s="13"/>
    </row>
    <row r="868" ht="15.75" customHeight="1">
      <c r="C868" s="14"/>
      <c r="D868" s="14"/>
      <c r="G868" s="16"/>
      <c r="H868" s="16"/>
      <c r="I868" s="16"/>
      <c r="J868" s="16"/>
      <c r="K868" s="16"/>
      <c r="L868" s="16"/>
      <c r="P868" s="13"/>
      <c r="Q868" s="14"/>
      <c r="R868" s="13"/>
    </row>
    <row r="869" ht="15.75" customHeight="1">
      <c r="C869" s="14"/>
      <c r="D869" s="14"/>
      <c r="G869" s="16"/>
      <c r="H869" s="16"/>
      <c r="I869" s="16"/>
      <c r="J869" s="16"/>
      <c r="K869" s="16"/>
      <c r="L869" s="16"/>
      <c r="P869" s="13"/>
      <c r="Q869" s="14"/>
      <c r="R869" s="13"/>
    </row>
    <row r="870" ht="15.75" customHeight="1">
      <c r="C870" s="14"/>
      <c r="D870" s="14"/>
      <c r="G870" s="16"/>
      <c r="H870" s="16"/>
      <c r="I870" s="16"/>
      <c r="J870" s="16"/>
      <c r="K870" s="16"/>
      <c r="L870" s="16"/>
      <c r="P870" s="13"/>
      <c r="Q870" s="14"/>
      <c r="R870" s="13"/>
    </row>
    <row r="871" ht="15.75" customHeight="1">
      <c r="C871" s="14"/>
      <c r="D871" s="14"/>
      <c r="G871" s="16"/>
      <c r="H871" s="16"/>
      <c r="I871" s="16"/>
      <c r="J871" s="16"/>
      <c r="K871" s="16"/>
      <c r="L871" s="16"/>
      <c r="P871" s="13"/>
      <c r="Q871" s="14"/>
      <c r="R871" s="13"/>
    </row>
    <row r="872" ht="15.75" customHeight="1">
      <c r="C872" s="14"/>
      <c r="D872" s="14"/>
      <c r="G872" s="16"/>
      <c r="H872" s="16"/>
      <c r="I872" s="16"/>
      <c r="J872" s="16"/>
      <c r="K872" s="16"/>
      <c r="L872" s="16"/>
      <c r="P872" s="13"/>
      <c r="Q872" s="14"/>
      <c r="R872" s="13"/>
    </row>
    <row r="873" ht="15.75" customHeight="1">
      <c r="C873" s="14"/>
      <c r="D873" s="14"/>
      <c r="G873" s="16"/>
      <c r="H873" s="16"/>
      <c r="I873" s="16"/>
      <c r="J873" s="16"/>
      <c r="K873" s="16"/>
      <c r="L873" s="16"/>
      <c r="P873" s="13"/>
      <c r="Q873" s="14"/>
      <c r="R873" s="13"/>
    </row>
    <row r="874" ht="15.75" customHeight="1">
      <c r="C874" s="14"/>
      <c r="D874" s="14"/>
      <c r="G874" s="16"/>
      <c r="H874" s="16"/>
      <c r="I874" s="16"/>
      <c r="J874" s="16"/>
      <c r="K874" s="16"/>
      <c r="L874" s="16"/>
      <c r="P874" s="13"/>
      <c r="Q874" s="14"/>
      <c r="R874" s="13"/>
    </row>
    <row r="875" ht="15.75" customHeight="1">
      <c r="C875" s="14"/>
      <c r="D875" s="14"/>
      <c r="G875" s="16"/>
      <c r="H875" s="16"/>
      <c r="I875" s="16"/>
      <c r="J875" s="16"/>
      <c r="K875" s="16"/>
      <c r="L875" s="16"/>
      <c r="P875" s="13"/>
      <c r="Q875" s="14"/>
      <c r="R875" s="13"/>
    </row>
    <row r="876" ht="15.75" customHeight="1">
      <c r="C876" s="14"/>
      <c r="D876" s="14"/>
      <c r="G876" s="16"/>
      <c r="H876" s="16"/>
      <c r="I876" s="16"/>
      <c r="J876" s="16"/>
      <c r="K876" s="16"/>
      <c r="L876" s="16"/>
      <c r="P876" s="13"/>
      <c r="Q876" s="14"/>
      <c r="R876" s="13"/>
    </row>
    <row r="877" ht="15.75" customHeight="1">
      <c r="C877" s="14"/>
      <c r="D877" s="14"/>
      <c r="G877" s="16"/>
      <c r="H877" s="16"/>
      <c r="I877" s="16"/>
      <c r="J877" s="16"/>
      <c r="K877" s="16"/>
      <c r="L877" s="16"/>
      <c r="P877" s="13"/>
      <c r="Q877" s="14"/>
      <c r="R877" s="13"/>
    </row>
    <row r="878" ht="15.75" customHeight="1">
      <c r="C878" s="14"/>
      <c r="D878" s="14"/>
      <c r="G878" s="16"/>
      <c r="H878" s="16"/>
      <c r="I878" s="16"/>
      <c r="J878" s="16"/>
      <c r="K878" s="16"/>
      <c r="L878" s="16"/>
      <c r="P878" s="13"/>
      <c r="Q878" s="14"/>
      <c r="R878" s="13"/>
    </row>
    <row r="879" ht="15.75" customHeight="1">
      <c r="C879" s="14"/>
      <c r="D879" s="14"/>
      <c r="G879" s="16"/>
      <c r="H879" s="16"/>
      <c r="I879" s="16"/>
      <c r="J879" s="16"/>
      <c r="K879" s="16"/>
      <c r="L879" s="16"/>
      <c r="P879" s="13"/>
      <c r="Q879" s="14"/>
      <c r="R879" s="13"/>
    </row>
    <row r="880" ht="15.75" customHeight="1">
      <c r="C880" s="14"/>
      <c r="D880" s="14"/>
      <c r="G880" s="16"/>
      <c r="H880" s="16"/>
      <c r="I880" s="16"/>
      <c r="J880" s="16"/>
      <c r="K880" s="16"/>
      <c r="L880" s="16"/>
      <c r="P880" s="13"/>
      <c r="Q880" s="14"/>
      <c r="R880" s="13"/>
    </row>
    <row r="881" ht="15.75" customHeight="1">
      <c r="C881" s="14"/>
      <c r="D881" s="14"/>
      <c r="G881" s="16"/>
      <c r="H881" s="16"/>
      <c r="I881" s="16"/>
      <c r="J881" s="16"/>
      <c r="K881" s="16"/>
      <c r="L881" s="16"/>
      <c r="P881" s="13"/>
      <c r="Q881" s="14"/>
      <c r="R881" s="13"/>
    </row>
    <row r="882" ht="15.75" customHeight="1">
      <c r="C882" s="14"/>
      <c r="D882" s="14"/>
      <c r="G882" s="16"/>
      <c r="H882" s="16"/>
      <c r="I882" s="16"/>
      <c r="J882" s="16"/>
      <c r="K882" s="16"/>
      <c r="L882" s="16"/>
      <c r="P882" s="13"/>
      <c r="Q882" s="14"/>
      <c r="R882" s="13"/>
    </row>
    <row r="883" ht="15.75" customHeight="1">
      <c r="C883" s="14"/>
      <c r="D883" s="14"/>
      <c r="G883" s="16"/>
      <c r="H883" s="16"/>
      <c r="I883" s="16"/>
      <c r="J883" s="16"/>
      <c r="K883" s="16"/>
      <c r="L883" s="16"/>
      <c r="P883" s="13"/>
      <c r="Q883" s="14"/>
      <c r="R883" s="13"/>
    </row>
    <row r="884" ht="15.75" customHeight="1">
      <c r="C884" s="14"/>
      <c r="D884" s="14"/>
      <c r="G884" s="16"/>
      <c r="H884" s="16"/>
      <c r="I884" s="16"/>
      <c r="J884" s="16"/>
      <c r="K884" s="16"/>
      <c r="L884" s="16"/>
      <c r="P884" s="13"/>
      <c r="Q884" s="14"/>
      <c r="R884" s="13"/>
    </row>
    <row r="885" ht="15.75" customHeight="1">
      <c r="C885" s="14"/>
      <c r="D885" s="14"/>
      <c r="G885" s="16"/>
      <c r="H885" s="16"/>
      <c r="I885" s="16"/>
      <c r="J885" s="16"/>
      <c r="K885" s="16"/>
      <c r="L885" s="16"/>
      <c r="P885" s="13"/>
      <c r="Q885" s="14"/>
      <c r="R885" s="13"/>
    </row>
    <row r="886" ht="15.75" customHeight="1">
      <c r="C886" s="14"/>
      <c r="D886" s="14"/>
      <c r="G886" s="16"/>
      <c r="H886" s="16"/>
      <c r="I886" s="16"/>
      <c r="J886" s="16"/>
      <c r="K886" s="16"/>
      <c r="L886" s="16"/>
      <c r="P886" s="13"/>
      <c r="Q886" s="14"/>
      <c r="R886" s="13"/>
    </row>
    <row r="887" ht="15.75" customHeight="1">
      <c r="C887" s="14"/>
      <c r="D887" s="14"/>
      <c r="G887" s="16"/>
      <c r="H887" s="16"/>
      <c r="I887" s="16"/>
      <c r="J887" s="16"/>
      <c r="K887" s="16"/>
      <c r="L887" s="16"/>
      <c r="P887" s="13"/>
      <c r="Q887" s="14"/>
      <c r="R887" s="13"/>
    </row>
    <row r="888" ht="15.75" customHeight="1">
      <c r="C888" s="14"/>
      <c r="D888" s="14"/>
      <c r="G888" s="16"/>
      <c r="H888" s="16"/>
      <c r="I888" s="16"/>
      <c r="J888" s="16"/>
      <c r="K888" s="16"/>
      <c r="L888" s="16"/>
      <c r="P888" s="13"/>
      <c r="Q888" s="14"/>
      <c r="R888" s="13"/>
    </row>
    <row r="889" ht="15.75" customHeight="1">
      <c r="C889" s="14"/>
      <c r="D889" s="14"/>
      <c r="G889" s="16"/>
      <c r="H889" s="16"/>
      <c r="I889" s="16"/>
      <c r="J889" s="16"/>
      <c r="K889" s="16"/>
      <c r="L889" s="16"/>
      <c r="P889" s="13"/>
      <c r="Q889" s="14"/>
      <c r="R889" s="13"/>
    </row>
    <row r="890" ht="15.75" customHeight="1">
      <c r="C890" s="14"/>
      <c r="D890" s="14"/>
      <c r="G890" s="16"/>
      <c r="H890" s="16"/>
      <c r="I890" s="16"/>
      <c r="J890" s="16"/>
      <c r="K890" s="16"/>
      <c r="L890" s="16"/>
      <c r="P890" s="13"/>
      <c r="Q890" s="14"/>
      <c r="R890" s="13"/>
    </row>
    <row r="891" ht="15.75" customHeight="1">
      <c r="C891" s="14"/>
      <c r="D891" s="14"/>
      <c r="G891" s="16"/>
      <c r="H891" s="16"/>
      <c r="I891" s="16"/>
      <c r="J891" s="16"/>
      <c r="K891" s="16"/>
      <c r="L891" s="16"/>
      <c r="P891" s="13"/>
      <c r="Q891" s="14"/>
      <c r="R891" s="13"/>
    </row>
    <row r="892" ht="15.75" customHeight="1">
      <c r="C892" s="14"/>
      <c r="D892" s="14"/>
      <c r="G892" s="16"/>
      <c r="H892" s="16"/>
      <c r="I892" s="16"/>
      <c r="J892" s="16"/>
      <c r="K892" s="16"/>
      <c r="L892" s="16"/>
      <c r="P892" s="13"/>
      <c r="Q892" s="14"/>
      <c r="R892" s="13"/>
    </row>
    <row r="893" ht="15.75" customHeight="1">
      <c r="C893" s="14"/>
      <c r="D893" s="14"/>
      <c r="G893" s="16"/>
      <c r="H893" s="16"/>
      <c r="I893" s="16"/>
      <c r="J893" s="16"/>
      <c r="K893" s="16"/>
      <c r="L893" s="16"/>
      <c r="P893" s="13"/>
      <c r="Q893" s="14"/>
      <c r="R893" s="13"/>
    </row>
    <row r="894" ht="15.75" customHeight="1">
      <c r="C894" s="14"/>
      <c r="D894" s="14"/>
      <c r="G894" s="16"/>
      <c r="H894" s="16"/>
      <c r="I894" s="16"/>
      <c r="J894" s="16"/>
      <c r="K894" s="16"/>
      <c r="L894" s="16"/>
      <c r="P894" s="13"/>
      <c r="Q894" s="14"/>
      <c r="R894" s="13"/>
    </row>
    <row r="895" ht="15.75" customHeight="1">
      <c r="C895" s="14"/>
      <c r="D895" s="14"/>
      <c r="G895" s="16"/>
      <c r="H895" s="16"/>
      <c r="I895" s="16"/>
      <c r="J895" s="16"/>
      <c r="K895" s="16"/>
      <c r="L895" s="16"/>
      <c r="P895" s="13"/>
      <c r="Q895" s="14"/>
      <c r="R895" s="13"/>
    </row>
    <row r="896" ht="15.75" customHeight="1">
      <c r="C896" s="14"/>
      <c r="D896" s="14"/>
      <c r="G896" s="16"/>
      <c r="H896" s="16"/>
      <c r="I896" s="16"/>
      <c r="J896" s="16"/>
      <c r="K896" s="16"/>
      <c r="L896" s="16"/>
      <c r="P896" s="13"/>
      <c r="Q896" s="14"/>
      <c r="R896" s="13"/>
    </row>
    <row r="897" ht="15.75" customHeight="1">
      <c r="C897" s="14"/>
      <c r="D897" s="14"/>
      <c r="G897" s="16"/>
      <c r="H897" s="16"/>
      <c r="I897" s="16"/>
      <c r="J897" s="16"/>
      <c r="K897" s="16"/>
      <c r="L897" s="16"/>
      <c r="P897" s="13"/>
      <c r="Q897" s="14"/>
      <c r="R897" s="13"/>
    </row>
    <row r="898" ht="15.75" customHeight="1">
      <c r="C898" s="14"/>
      <c r="D898" s="14"/>
      <c r="G898" s="16"/>
      <c r="H898" s="16"/>
      <c r="I898" s="16"/>
      <c r="J898" s="16"/>
      <c r="K898" s="16"/>
      <c r="L898" s="16"/>
      <c r="P898" s="13"/>
      <c r="Q898" s="14"/>
      <c r="R898" s="13"/>
    </row>
    <row r="899" ht="15.75" customHeight="1">
      <c r="C899" s="14"/>
      <c r="D899" s="14"/>
      <c r="G899" s="16"/>
      <c r="H899" s="16"/>
      <c r="I899" s="16"/>
      <c r="J899" s="16"/>
      <c r="K899" s="16"/>
      <c r="L899" s="16"/>
      <c r="P899" s="13"/>
      <c r="Q899" s="14"/>
      <c r="R899" s="13"/>
    </row>
    <row r="900" ht="15.75" customHeight="1">
      <c r="C900" s="14"/>
      <c r="D900" s="14"/>
      <c r="G900" s="16"/>
      <c r="H900" s="16"/>
      <c r="I900" s="16"/>
      <c r="J900" s="16"/>
      <c r="K900" s="16"/>
      <c r="L900" s="16"/>
      <c r="P900" s="13"/>
      <c r="Q900" s="14"/>
      <c r="R900" s="13"/>
    </row>
    <row r="901" ht="15.75" customHeight="1">
      <c r="C901" s="14"/>
      <c r="D901" s="14"/>
      <c r="G901" s="16"/>
      <c r="H901" s="16"/>
      <c r="I901" s="16"/>
      <c r="J901" s="16"/>
      <c r="K901" s="16"/>
      <c r="L901" s="16"/>
      <c r="P901" s="13"/>
      <c r="Q901" s="14"/>
      <c r="R901" s="13"/>
    </row>
    <row r="902" ht="15.75" customHeight="1">
      <c r="C902" s="14"/>
      <c r="D902" s="14"/>
      <c r="G902" s="16"/>
      <c r="H902" s="16"/>
      <c r="I902" s="16"/>
      <c r="J902" s="16"/>
      <c r="K902" s="16"/>
      <c r="L902" s="16"/>
      <c r="P902" s="13"/>
      <c r="Q902" s="14"/>
      <c r="R902" s="13"/>
    </row>
    <row r="903" ht="15.75" customHeight="1">
      <c r="C903" s="14"/>
      <c r="D903" s="14"/>
      <c r="G903" s="16"/>
      <c r="H903" s="16"/>
      <c r="I903" s="16"/>
      <c r="J903" s="16"/>
      <c r="K903" s="16"/>
      <c r="L903" s="16"/>
      <c r="P903" s="13"/>
      <c r="Q903" s="14"/>
      <c r="R903" s="13"/>
    </row>
    <row r="904" ht="15.75" customHeight="1">
      <c r="C904" s="14"/>
      <c r="D904" s="14"/>
      <c r="G904" s="16"/>
      <c r="H904" s="16"/>
      <c r="I904" s="16"/>
      <c r="J904" s="16"/>
      <c r="K904" s="16"/>
      <c r="L904" s="16"/>
      <c r="P904" s="13"/>
      <c r="Q904" s="14"/>
      <c r="R904" s="13"/>
    </row>
    <row r="905" ht="15.75" customHeight="1">
      <c r="C905" s="14"/>
      <c r="D905" s="14"/>
      <c r="G905" s="16"/>
      <c r="H905" s="16"/>
      <c r="I905" s="16"/>
      <c r="J905" s="16"/>
      <c r="K905" s="16"/>
      <c r="L905" s="16"/>
      <c r="P905" s="13"/>
      <c r="Q905" s="14"/>
      <c r="R905" s="13"/>
    </row>
    <row r="906" ht="15.75" customHeight="1">
      <c r="C906" s="14"/>
      <c r="D906" s="14"/>
      <c r="G906" s="16"/>
      <c r="H906" s="16"/>
      <c r="I906" s="16"/>
      <c r="J906" s="16"/>
      <c r="K906" s="16"/>
      <c r="L906" s="16"/>
      <c r="P906" s="13"/>
      <c r="Q906" s="14"/>
      <c r="R906" s="13"/>
    </row>
    <row r="907" ht="15.75" customHeight="1">
      <c r="C907" s="14"/>
      <c r="D907" s="14"/>
      <c r="G907" s="16"/>
      <c r="H907" s="16"/>
      <c r="I907" s="16"/>
      <c r="J907" s="16"/>
      <c r="K907" s="16"/>
      <c r="L907" s="16"/>
      <c r="P907" s="13"/>
      <c r="Q907" s="14"/>
      <c r="R907" s="13"/>
    </row>
    <row r="908" ht="15.75" customHeight="1">
      <c r="C908" s="14"/>
      <c r="D908" s="14"/>
      <c r="G908" s="16"/>
      <c r="H908" s="16"/>
      <c r="I908" s="16"/>
      <c r="J908" s="16"/>
      <c r="K908" s="16"/>
      <c r="L908" s="16"/>
      <c r="P908" s="13"/>
      <c r="Q908" s="14"/>
      <c r="R908" s="13"/>
    </row>
    <row r="909" ht="15.75" customHeight="1">
      <c r="C909" s="14"/>
      <c r="D909" s="14"/>
      <c r="G909" s="16"/>
      <c r="H909" s="16"/>
      <c r="I909" s="16"/>
      <c r="J909" s="16"/>
      <c r="K909" s="16"/>
      <c r="L909" s="16"/>
      <c r="P909" s="13"/>
      <c r="Q909" s="14"/>
      <c r="R909" s="13"/>
    </row>
    <row r="910" ht="15.75" customHeight="1">
      <c r="C910" s="14"/>
      <c r="D910" s="14"/>
      <c r="G910" s="16"/>
      <c r="H910" s="16"/>
      <c r="I910" s="16"/>
      <c r="J910" s="16"/>
      <c r="K910" s="16"/>
      <c r="L910" s="16"/>
      <c r="P910" s="13"/>
      <c r="Q910" s="14"/>
      <c r="R910" s="13"/>
    </row>
    <row r="911" ht="15.75" customHeight="1">
      <c r="C911" s="14"/>
      <c r="D911" s="14"/>
      <c r="G911" s="16"/>
      <c r="H911" s="16"/>
      <c r="I911" s="16"/>
      <c r="J911" s="16"/>
      <c r="K911" s="16"/>
      <c r="L911" s="16"/>
      <c r="P911" s="13"/>
      <c r="Q911" s="14"/>
      <c r="R911" s="13"/>
    </row>
    <row r="912" ht="15.75" customHeight="1">
      <c r="C912" s="14"/>
      <c r="D912" s="14"/>
      <c r="G912" s="16"/>
      <c r="H912" s="16"/>
      <c r="I912" s="16"/>
      <c r="J912" s="16"/>
      <c r="K912" s="16"/>
      <c r="L912" s="16"/>
      <c r="P912" s="13"/>
      <c r="Q912" s="14"/>
      <c r="R912" s="13"/>
    </row>
    <row r="913" ht="15.75" customHeight="1">
      <c r="C913" s="14"/>
      <c r="D913" s="14"/>
      <c r="G913" s="16"/>
      <c r="H913" s="16"/>
      <c r="I913" s="16"/>
      <c r="J913" s="16"/>
      <c r="K913" s="16"/>
      <c r="L913" s="16"/>
      <c r="P913" s="13"/>
      <c r="Q913" s="14"/>
      <c r="R913" s="13"/>
    </row>
    <row r="914" ht="15.75" customHeight="1">
      <c r="C914" s="14"/>
      <c r="D914" s="14"/>
      <c r="G914" s="16"/>
      <c r="H914" s="16"/>
      <c r="I914" s="16"/>
      <c r="J914" s="16"/>
      <c r="K914" s="16"/>
      <c r="L914" s="16"/>
      <c r="P914" s="13"/>
      <c r="Q914" s="14"/>
      <c r="R914" s="13"/>
    </row>
    <row r="915" ht="15.75" customHeight="1">
      <c r="C915" s="14"/>
      <c r="D915" s="14"/>
      <c r="G915" s="16"/>
      <c r="H915" s="16"/>
      <c r="I915" s="16"/>
      <c r="J915" s="16"/>
      <c r="K915" s="16"/>
      <c r="L915" s="16"/>
      <c r="P915" s="13"/>
      <c r="Q915" s="14"/>
      <c r="R915" s="13"/>
    </row>
    <row r="916" ht="15.75" customHeight="1">
      <c r="C916" s="14"/>
      <c r="D916" s="14"/>
      <c r="G916" s="16"/>
      <c r="H916" s="16"/>
      <c r="I916" s="16"/>
      <c r="J916" s="16"/>
      <c r="K916" s="16"/>
      <c r="L916" s="16"/>
      <c r="P916" s="13"/>
      <c r="Q916" s="14"/>
      <c r="R916" s="13"/>
    </row>
    <row r="917" ht="15.75" customHeight="1">
      <c r="C917" s="14"/>
      <c r="D917" s="14"/>
      <c r="G917" s="16"/>
      <c r="H917" s="16"/>
      <c r="I917" s="16"/>
      <c r="J917" s="16"/>
      <c r="K917" s="16"/>
      <c r="L917" s="16"/>
      <c r="P917" s="13"/>
      <c r="Q917" s="14"/>
      <c r="R917" s="13"/>
    </row>
    <row r="918" ht="15.75" customHeight="1">
      <c r="C918" s="14"/>
      <c r="D918" s="14"/>
      <c r="G918" s="16"/>
      <c r="H918" s="16"/>
      <c r="I918" s="16"/>
      <c r="J918" s="16"/>
      <c r="K918" s="16"/>
      <c r="L918" s="16"/>
      <c r="P918" s="13"/>
      <c r="Q918" s="14"/>
      <c r="R918" s="13"/>
    </row>
    <row r="919" ht="15.75" customHeight="1">
      <c r="C919" s="14"/>
      <c r="D919" s="14"/>
      <c r="G919" s="16"/>
      <c r="H919" s="16"/>
      <c r="I919" s="16"/>
      <c r="J919" s="16"/>
      <c r="K919" s="16"/>
      <c r="L919" s="16"/>
      <c r="P919" s="13"/>
      <c r="Q919" s="14"/>
      <c r="R919" s="13"/>
    </row>
    <row r="920" ht="15.75" customHeight="1">
      <c r="C920" s="14"/>
      <c r="D920" s="14"/>
      <c r="G920" s="16"/>
      <c r="H920" s="16"/>
      <c r="I920" s="16"/>
      <c r="J920" s="16"/>
      <c r="K920" s="16"/>
      <c r="L920" s="16"/>
      <c r="P920" s="13"/>
      <c r="Q920" s="14"/>
      <c r="R920" s="13"/>
    </row>
    <row r="921" ht="15.75" customHeight="1">
      <c r="C921" s="14"/>
      <c r="D921" s="14"/>
      <c r="G921" s="16"/>
      <c r="H921" s="16"/>
      <c r="I921" s="16"/>
      <c r="J921" s="16"/>
      <c r="K921" s="16"/>
      <c r="L921" s="16"/>
      <c r="P921" s="13"/>
      <c r="Q921" s="14"/>
      <c r="R921" s="13"/>
    </row>
    <row r="922" ht="15.75" customHeight="1">
      <c r="C922" s="14"/>
      <c r="D922" s="14"/>
      <c r="G922" s="16"/>
      <c r="H922" s="16"/>
      <c r="I922" s="16"/>
      <c r="J922" s="16"/>
      <c r="K922" s="16"/>
      <c r="L922" s="16"/>
      <c r="P922" s="13"/>
      <c r="Q922" s="14"/>
      <c r="R922" s="13"/>
    </row>
    <row r="923" ht="15.75" customHeight="1">
      <c r="C923" s="14"/>
      <c r="D923" s="14"/>
      <c r="G923" s="16"/>
      <c r="H923" s="16"/>
      <c r="I923" s="16"/>
      <c r="J923" s="16"/>
      <c r="K923" s="16"/>
      <c r="L923" s="16"/>
      <c r="P923" s="13"/>
      <c r="Q923" s="14"/>
      <c r="R923" s="13"/>
    </row>
    <row r="924" ht="15.75" customHeight="1">
      <c r="C924" s="14"/>
      <c r="D924" s="14"/>
      <c r="G924" s="16"/>
      <c r="H924" s="16"/>
      <c r="I924" s="16"/>
      <c r="J924" s="16"/>
      <c r="K924" s="16"/>
      <c r="L924" s="16"/>
      <c r="P924" s="13"/>
      <c r="Q924" s="14"/>
      <c r="R924" s="13"/>
    </row>
    <row r="925" ht="15.75" customHeight="1">
      <c r="C925" s="14"/>
      <c r="D925" s="14"/>
      <c r="G925" s="16"/>
      <c r="H925" s="16"/>
      <c r="I925" s="16"/>
      <c r="J925" s="16"/>
      <c r="K925" s="16"/>
      <c r="L925" s="16"/>
      <c r="P925" s="13"/>
      <c r="Q925" s="14"/>
      <c r="R925" s="13"/>
    </row>
    <row r="926" ht="15.75" customHeight="1">
      <c r="C926" s="14"/>
      <c r="D926" s="14"/>
      <c r="G926" s="16"/>
      <c r="H926" s="16"/>
      <c r="I926" s="16"/>
      <c r="J926" s="16"/>
      <c r="K926" s="16"/>
      <c r="L926" s="16"/>
      <c r="P926" s="13"/>
      <c r="Q926" s="14"/>
      <c r="R926" s="13"/>
    </row>
    <row r="927" ht="15.75" customHeight="1">
      <c r="C927" s="14"/>
      <c r="D927" s="14"/>
      <c r="G927" s="16"/>
      <c r="H927" s="16"/>
      <c r="I927" s="16"/>
      <c r="J927" s="16"/>
      <c r="K927" s="16"/>
      <c r="L927" s="16"/>
      <c r="P927" s="13"/>
      <c r="Q927" s="14"/>
      <c r="R927" s="13"/>
    </row>
    <row r="928" ht="15.75" customHeight="1">
      <c r="C928" s="14"/>
      <c r="D928" s="14"/>
      <c r="G928" s="16"/>
      <c r="H928" s="16"/>
      <c r="I928" s="16"/>
      <c r="J928" s="16"/>
      <c r="K928" s="16"/>
      <c r="L928" s="16"/>
      <c r="P928" s="13"/>
      <c r="Q928" s="14"/>
      <c r="R928" s="13"/>
    </row>
    <row r="929" ht="15.75" customHeight="1">
      <c r="C929" s="14"/>
      <c r="D929" s="14"/>
      <c r="G929" s="16"/>
      <c r="H929" s="16"/>
      <c r="I929" s="16"/>
      <c r="J929" s="16"/>
      <c r="K929" s="16"/>
      <c r="L929" s="16"/>
      <c r="P929" s="13"/>
      <c r="Q929" s="14"/>
      <c r="R929" s="13"/>
    </row>
    <row r="930" ht="15.75" customHeight="1">
      <c r="C930" s="14"/>
      <c r="D930" s="14"/>
      <c r="G930" s="16"/>
      <c r="H930" s="16"/>
      <c r="I930" s="16"/>
      <c r="J930" s="16"/>
      <c r="K930" s="16"/>
      <c r="L930" s="16"/>
      <c r="P930" s="13"/>
      <c r="Q930" s="14"/>
      <c r="R930" s="13"/>
    </row>
    <row r="931" ht="15.75" customHeight="1">
      <c r="C931" s="14"/>
      <c r="D931" s="14"/>
      <c r="G931" s="16"/>
      <c r="H931" s="16"/>
      <c r="I931" s="16"/>
      <c r="J931" s="16"/>
      <c r="K931" s="16"/>
      <c r="L931" s="16"/>
      <c r="P931" s="13"/>
      <c r="Q931" s="14"/>
      <c r="R931" s="13"/>
    </row>
    <row r="932" ht="15.75" customHeight="1">
      <c r="C932" s="14"/>
      <c r="D932" s="14"/>
      <c r="G932" s="16"/>
      <c r="H932" s="16"/>
      <c r="I932" s="16"/>
      <c r="J932" s="16"/>
      <c r="K932" s="16"/>
      <c r="L932" s="16"/>
      <c r="P932" s="13"/>
      <c r="Q932" s="14"/>
      <c r="R932" s="13"/>
    </row>
    <row r="933" ht="15.75" customHeight="1">
      <c r="C933" s="14"/>
      <c r="D933" s="14"/>
      <c r="G933" s="16"/>
      <c r="H933" s="16"/>
      <c r="I933" s="16"/>
      <c r="J933" s="16"/>
      <c r="K933" s="16"/>
      <c r="L933" s="16"/>
      <c r="P933" s="13"/>
      <c r="Q933" s="14"/>
      <c r="R933" s="13"/>
    </row>
    <row r="934" ht="15.75" customHeight="1">
      <c r="C934" s="14"/>
      <c r="D934" s="14"/>
      <c r="G934" s="16"/>
      <c r="H934" s="16"/>
      <c r="I934" s="16"/>
      <c r="J934" s="16"/>
      <c r="K934" s="16"/>
      <c r="L934" s="16"/>
      <c r="P934" s="13"/>
      <c r="Q934" s="14"/>
      <c r="R934" s="13"/>
    </row>
    <row r="935" ht="15.75" customHeight="1">
      <c r="C935" s="14"/>
      <c r="D935" s="14"/>
      <c r="G935" s="16"/>
      <c r="H935" s="16"/>
      <c r="I935" s="16"/>
      <c r="J935" s="16"/>
      <c r="K935" s="16"/>
      <c r="L935" s="16"/>
      <c r="P935" s="13"/>
      <c r="Q935" s="14"/>
      <c r="R935" s="13"/>
    </row>
    <row r="936" ht="15.75" customHeight="1">
      <c r="C936" s="14"/>
      <c r="D936" s="14"/>
      <c r="G936" s="16"/>
      <c r="H936" s="16"/>
      <c r="I936" s="16"/>
      <c r="J936" s="16"/>
      <c r="K936" s="16"/>
      <c r="L936" s="16"/>
      <c r="P936" s="13"/>
      <c r="Q936" s="14"/>
      <c r="R936" s="13"/>
    </row>
    <row r="937" ht="15.75" customHeight="1">
      <c r="C937" s="14"/>
      <c r="D937" s="14"/>
      <c r="G937" s="16"/>
      <c r="H937" s="16"/>
      <c r="I937" s="16"/>
      <c r="J937" s="16"/>
      <c r="K937" s="16"/>
      <c r="L937" s="16"/>
      <c r="P937" s="13"/>
      <c r="Q937" s="14"/>
      <c r="R937" s="13"/>
    </row>
    <row r="938" ht="15.75" customHeight="1">
      <c r="C938" s="14"/>
      <c r="D938" s="14"/>
      <c r="G938" s="16"/>
      <c r="H938" s="16"/>
      <c r="I938" s="16"/>
      <c r="J938" s="16"/>
      <c r="K938" s="16"/>
      <c r="L938" s="16"/>
      <c r="P938" s="13"/>
      <c r="Q938" s="14"/>
      <c r="R938" s="13"/>
    </row>
    <row r="939" ht="15.75" customHeight="1">
      <c r="C939" s="14"/>
      <c r="D939" s="14"/>
      <c r="G939" s="16"/>
      <c r="H939" s="16"/>
      <c r="I939" s="16"/>
      <c r="J939" s="16"/>
      <c r="K939" s="16"/>
      <c r="L939" s="16"/>
      <c r="P939" s="13"/>
      <c r="Q939" s="14"/>
      <c r="R939" s="13"/>
    </row>
    <row r="940" ht="15.75" customHeight="1">
      <c r="C940" s="14"/>
      <c r="D940" s="14"/>
      <c r="G940" s="16"/>
      <c r="H940" s="16"/>
      <c r="I940" s="16"/>
      <c r="J940" s="16"/>
      <c r="K940" s="16"/>
      <c r="L940" s="16"/>
      <c r="P940" s="13"/>
      <c r="Q940" s="14"/>
      <c r="R940" s="13"/>
    </row>
    <row r="941" ht="15.75" customHeight="1">
      <c r="C941" s="14"/>
      <c r="D941" s="14"/>
      <c r="G941" s="16"/>
      <c r="H941" s="16"/>
      <c r="I941" s="16"/>
      <c r="J941" s="16"/>
      <c r="K941" s="16"/>
      <c r="L941" s="16"/>
      <c r="P941" s="13"/>
      <c r="Q941" s="14"/>
      <c r="R941" s="13"/>
    </row>
    <row r="942" ht="15.75" customHeight="1">
      <c r="C942" s="14"/>
      <c r="D942" s="14"/>
      <c r="G942" s="16"/>
      <c r="H942" s="16"/>
      <c r="I942" s="16"/>
      <c r="J942" s="16"/>
      <c r="K942" s="16"/>
      <c r="L942" s="16"/>
      <c r="P942" s="13"/>
      <c r="Q942" s="14"/>
      <c r="R942" s="13"/>
    </row>
    <row r="943" ht="15.75" customHeight="1">
      <c r="C943" s="14"/>
      <c r="D943" s="14"/>
      <c r="G943" s="16"/>
      <c r="H943" s="16"/>
      <c r="I943" s="16"/>
      <c r="J943" s="16"/>
      <c r="K943" s="16"/>
      <c r="L943" s="16"/>
      <c r="P943" s="13"/>
      <c r="Q943" s="14"/>
      <c r="R943" s="13"/>
    </row>
    <row r="944" ht="15.75" customHeight="1">
      <c r="C944" s="14"/>
      <c r="D944" s="14"/>
      <c r="G944" s="16"/>
      <c r="H944" s="16"/>
      <c r="I944" s="16"/>
      <c r="J944" s="16"/>
      <c r="K944" s="16"/>
      <c r="L944" s="16"/>
      <c r="P944" s="13"/>
      <c r="Q944" s="14"/>
      <c r="R944" s="13"/>
    </row>
    <row r="945" ht="15.75" customHeight="1">
      <c r="C945" s="14"/>
      <c r="D945" s="14"/>
      <c r="G945" s="16"/>
      <c r="H945" s="16"/>
      <c r="I945" s="16"/>
      <c r="J945" s="16"/>
      <c r="K945" s="16"/>
      <c r="L945" s="16"/>
      <c r="P945" s="13"/>
      <c r="Q945" s="14"/>
      <c r="R945" s="13"/>
    </row>
    <row r="946" ht="15.75" customHeight="1">
      <c r="C946" s="14"/>
      <c r="D946" s="14"/>
      <c r="G946" s="16"/>
      <c r="H946" s="16"/>
      <c r="I946" s="16"/>
      <c r="J946" s="16"/>
      <c r="K946" s="16"/>
      <c r="L946" s="16"/>
      <c r="P946" s="13"/>
      <c r="Q946" s="14"/>
      <c r="R946" s="13"/>
    </row>
    <row r="947" ht="15.75" customHeight="1">
      <c r="C947" s="14"/>
      <c r="D947" s="14"/>
      <c r="G947" s="16"/>
      <c r="H947" s="16"/>
      <c r="I947" s="16"/>
      <c r="J947" s="16"/>
      <c r="K947" s="16"/>
      <c r="L947" s="16"/>
      <c r="P947" s="13"/>
      <c r="Q947" s="14"/>
      <c r="R947" s="13"/>
    </row>
    <row r="948" ht="15.75" customHeight="1">
      <c r="C948" s="14"/>
      <c r="D948" s="14"/>
      <c r="G948" s="16"/>
      <c r="H948" s="16"/>
      <c r="I948" s="16"/>
      <c r="J948" s="16"/>
      <c r="K948" s="16"/>
      <c r="L948" s="16"/>
      <c r="P948" s="13"/>
      <c r="Q948" s="14"/>
      <c r="R948" s="13"/>
    </row>
    <row r="949" ht="15.75" customHeight="1">
      <c r="C949" s="14"/>
      <c r="D949" s="14"/>
      <c r="G949" s="16"/>
      <c r="H949" s="16"/>
      <c r="I949" s="16"/>
      <c r="J949" s="16"/>
      <c r="K949" s="16"/>
      <c r="L949" s="16"/>
      <c r="P949" s="13"/>
      <c r="Q949" s="14"/>
      <c r="R949" s="13"/>
    </row>
    <row r="950" ht="15.75" customHeight="1">
      <c r="C950" s="14"/>
      <c r="D950" s="14"/>
      <c r="G950" s="16"/>
      <c r="H950" s="16"/>
      <c r="I950" s="16"/>
      <c r="J950" s="16"/>
      <c r="K950" s="16"/>
      <c r="L950" s="16"/>
      <c r="P950" s="13"/>
      <c r="Q950" s="14"/>
      <c r="R950" s="13"/>
    </row>
    <row r="951" ht="15.75" customHeight="1">
      <c r="C951" s="14"/>
      <c r="D951" s="14"/>
      <c r="G951" s="16"/>
      <c r="H951" s="16"/>
      <c r="I951" s="16"/>
      <c r="J951" s="16"/>
      <c r="K951" s="16"/>
      <c r="L951" s="16"/>
      <c r="P951" s="13"/>
      <c r="Q951" s="14"/>
      <c r="R951" s="13"/>
    </row>
    <row r="952" ht="15.75" customHeight="1">
      <c r="C952" s="14"/>
      <c r="D952" s="14"/>
      <c r="G952" s="16"/>
      <c r="H952" s="16"/>
      <c r="I952" s="16"/>
      <c r="J952" s="16"/>
      <c r="K952" s="16"/>
      <c r="L952" s="16"/>
      <c r="P952" s="13"/>
      <c r="Q952" s="14"/>
      <c r="R952" s="13"/>
    </row>
    <row r="953" ht="15.75" customHeight="1">
      <c r="C953" s="14"/>
      <c r="D953" s="14"/>
      <c r="G953" s="16"/>
      <c r="H953" s="16"/>
      <c r="I953" s="16"/>
      <c r="J953" s="16"/>
      <c r="K953" s="16"/>
      <c r="L953" s="16"/>
      <c r="P953" s="13"/>
      <c r="Q953" s="14"/>
      <c r="R953" s="13"/>
    </row>
    <row r="954" ht="15.75" customHeight="1">
      <c r="C954" s="14"/>
      <c r="D954" s="14"/>
      <c r="G954" s="16"/>
      <c r="H954" s="16"/>
      <c r="I954" s="16"/>
      <c r="J954" s="16"/>
      <c r="K954" s="16"/>
      <c r="L954" s="16"/>
      <c r="P954" s="13"/>
      <c r="Q954" s="14"/>
      <c r="R954" s="13"/>
    </row>
    <row r="955" ht="15.75" customHeight="1">
      <c r="C955" s="14"/>
      <c r="D955" s="14"/>
      <c r="G955" s="16"/>
      <c r="H955" s="16"/>
      <c r="I955" s="16"/>
      <c r="J955" s="16"/>
      <c r="K955" s="16"/>
      <c r="L955" s="16"/>
      <c r="P955" s="13"/>
      <c r="Q955" s="14"/>
      <c r="R955" s="13"/>
    </row>
    <row r="956" ht="15.75" customHeight="1">
      <c r="C956" s="14"/>
      <c r="D956" s="14"/>
      <c r="G956" s="16"/>
      <c r="H956" s="16"/>
      <c r="I956" s="16"/>
      <c r="J956" s="16"/>
      <c r="K956" s="16"/>
      <c r="L956" s="16"/>
      <c r="P956" s="13"/>
      <c r="Q956" s="14"/>
      <c r="R956" s="13"/>
    </row>
    <row r="957" ht="15.75" customHeight="1">
      <c r="C957" s="14"/>
      <c r="D957" s="14"/>
      <c r="G957" s="16"/>
      <c r="H957" s="16"/>
      <c r="I957" s="16"/>
      <c r="J957" s="16"/>
      <c r="K957" s="16"/>
      <c r="L957" s="16"/>
      <c r="P957" s="13"/>
      <c r="Q957" s="14"/>
      <c r="R957" s="13"/>
    </row>
    <row r="958" ht="15.75" customHeight="1">
      <c r="C958" s="14"/>
      <c r="D958" s="14"/>
      <c r="G958" s="16"/>
      <c r="H958" s="16"/>
      <c r="I958" s="16"/>
      <c r="J958" s="16"/>
      <c r="K958" s="16"/>
      <c r="L958" s="16"/>
      <c r="P958" s="13"/>
      <c r="Q958" s="14"/>
      <c r="R958" s="13"/>
    </row>
    <row r="959" ht="15.75" customHeight="1">
      <c r="C959" s="14"/>
      <c r="D959" s="14"/>
      <c r="G959" s="16"/>
      <c r="H959" s="16"/>
      <c r="I959" s="16"/>
      <c r="J959" s="16"/>
      <c r="K959" s="16"/>
      <c r="L959" s="16"/>
      <c r="P959" s="13"/>
      <c r="Q959" s="14"/>
      <c r="R959" s="13"/>
    </row>
    <row r="960" ht="15.75" customHeight="1">
      <c r="C960" s="14"/>
      <c r="D960" s="14"/>
      <c r="G960" s="16"/>
      <c r="H960" s="16"/>
      <c r="I960" s="16"/>
      <c r="J960" s="16"/>
      <c r="K960" s="16"/>
      <c r="L960" s="16"/>
      <c r="P960" s="13"/>
      <c r="Q960" s="14"/>
      <c r="R960" s="13"/>
    </row>
    <row r="961" ht="15.75" customHeight="1">
      <c r="C961" s="14"/>
      <c r="D961" s="14"/>
      <c r="G961" s="16"/>
      <c r="H961" s="16"/>
      <c r="I961" s="16"/>
      <c r="J961" s="16"/>
      <c r="K961" s="16"/>
      <c r="L961" s="16"/>
      <c r="P961" s="13"/>
      <c r="Q961" s="14"/>
      <c r="R961" s="13"/>
    </row>
    <row r="962" ht="15.75" customHeight="1">
      <c r="C962" s="14"/>
      <c r="D962" s="14"/>
      <c r="G962" s="16"/>
      <c r="H962" s="16"/>
      <c r="I962" s="16"/>
      <c r="J962" s="16"/>
      <c r="K962" s="16"/>
      <c r="L962" s="16"/>
      <c r="P962" s="13"/>
      <c r="Q962" s="14"/>
      <c r="R962" s="13"/>
    </row>
    <row r="963" ht="15.75" customHeight="1">
      <c r="C963" s="14"/>
      <c r="D963" s="14"/>
      <c r="G963" s="16"/>
      <c r="H963" s="16"/>
      <c r="I963" s="16"/>
      <c r="J963" s="16"/>
      <c r="K963" s="16"/>
      <c r="L963" s="16"/>
      <c r="P963" s="13"/>
      <c r="Q963" s="14"/>
      <c r="R963" s="13"/>
    </row>
    <row r="964" ht="15.75" customHeight="1">
      <c r="C964" s="14"/>
      <c r="D964" s="14"/>
      <c r="G964" s="16"/>
      <c r="H964" s="16"/>
      <c r="I964" s="16"/>
      <c r="J964" s="16"/>
      <c r="K964" s="16"/>
      <c r="L964" s="16"/>
      <c r="P964" s="13"/>
      <c r="Q964" s="14"/>
      <c r="R964" s="13"/>
    </row>
    <row r="965" ht="15.75" customHeight="1">
      <c r="C965" s="14"/>
      <c r="D965" s="14"/>
      <c r="G965" s="16"/>
      <c r="H965" s="16"/>
      <c r="I965" s="16"/>
      <c r="J965" s="16"/>
      <c r="K965" s="16"/>
      <c r="L965" s="16"/>
      <c r="P965" s="13"/>
      <c r="Q965" s="14"/>
      <c r="R965" s="13"/>
    </row>
    <row r="966" ht="15.75" customHeight="1">
      <c r="C966" s="14"/>
      <c r="D966" s="14"/>
      <c r="G966" s="16"/>
      <c r="H966" s="16"/>
      <c r="I966" s="16"/>
      <c r="J966" s="16"/>
      <c r="K966" s="16"/>
      <c r="L966" s="16"/>
      <c r="P966" s="13"/>
      <c r="Q966" s="14"/>
      <c r="R966" s="13"/>
    </row>
    <row r="967" ht="15.75" customHeight="1">
      <c r="C967" s="14"/>
      <c r="D967" s="14"/>
      <c r="G967" s="16"/>
      <c r="H967" s="16"/>
      <c r="I967" s="16"/>
      <c r="J967" s="16"/>
      <c r="K967" s="16"/>
      <c r="L967" s="16"/>
      <c r="P967" s="13"/>
      <c r="Q967" s="14"/>
      <c r="R967" s="13"/>
    </row>
    <row r="968" ht="15.75" customHeight="1">
      <c r="C968" s="14"/>
      <c r="D968" s="14"/>
      <c r="G968" s="16"/>
      <c r="H968" s="16"/>
      <c r="I968" s="16"/>
      <c r="J968" s="16"/>
      <c r="K968" s="16"/>
      <c r="L968" s="16"/>
      <c r="P968" s="13"/>
      <c r="Q968" s="14"/>
      <c r="R968" s="13"/>
    </row>
    <row r="969" ht="15.75" customHeight="1">
      <c r="C969" s="14"/>
      <c r="D969" s="14"/>
      <c r="G969" s="16"/>
      <c r="H969" s="16"/>
      <c r="I969" s="16"/>
      <c r="J969" s="16"/>
      <c r="K969" s="16"/>
      <c r="L969" s="16"/>
      <c r="P969" s="13"/>
      <c r="Q969" s="14"/>
      <c r="R969" s="13"/>
    </row>
    <row r="970" ht="15.75" customHeight="1">
      <c r="C970" s="14"/>
      <c r="D970" s="14"/>
      <c r="G970" s="16"/>
      <c r="H970" s="16"/>
      <c r="I970" s="16"/>
      <c r="J970" s="16"/>
      <c r="K970" s="16"/>
      <c r="L970" s="16"/>
      <c r="P970" s="13"/>
      <c r="Q970" s="14"/>
      <c r="R970" s="13"/>
    </row>
    <row r="971" ht="15.75" customHeight="1">
      <c r="C971" s="14"/>
      <c r="D971" s="14"/>
      <c r="G971" s="16"/>
      <c r="H971" s="16"/>
      <c r="I971" s="16"/>
      <c r="J971" s="16"/>
      <c r="K971" s="16"/>
      <c r="L971" s="16"/>
      <c r="P971" s="13"/>
      <c r="Q971" s="14"/>
      <c r="R971" s="13"/>
    </row>
    <row r="972" ht="15.75" customHeight="1">
      <c r="C972" s="14"/>
      <c r="D972" s="14"/>
      <c r="G972" s="16"/>
      <c r="H972" s="16"/>
      <c r="I972" s="16"/>
      <c r="J972" s="16"/>
      <c r="K972" s="16"/>
      <c r="L972" s="16"/>
      <c r="P972" s="13"/>
      <c r="Q972" s="14"/>
      <c r="R972" s="13"/>
    </row>
    <row r="973" ht="15.75" customHeight="1">
      <c r="C973" s="14"/>
      <c r="D973" s="14"/>
      <c r="G973" s="16"/>
      <c r="H973" s="16"/>
      <c r="I973" s="16"/>
      <c r="J973" s="16"/>
      <c r="K973" s="16"/>
      <c r="L973" s="16"/>
      <c r="P973" s="13"/>
      <c r="Q973" s="14"/>
      <c r="R973" s="13"/>
    </row>
    <row r="974" ht="15.75" customHeight="1">
      <c r="C974" s="14"/>
      <c r="D974" s="14"/>
      <c r="G974" s="16"/>
      <c r="H974" s="16"/>
      <c r="I974" s="16"/>
      <c r="J974" s="16"/>
      <c r="K974" s="16"/>
      <c r="L974" s="16"/>
      <c r="P974" s="13"/>
      <c r="Q974" s="14"/>
      <c r="R974" s="13"/>
    </row>
    <row r="975" ht="15.75" customHeight="1">
      <c r="C975" s="14"/>
      <c r="D975" s="14"/>
      <c r="G975" s="16"/>
      <c r="H975" s="16"/>
      <c r="I975" s="16"/>
      <c r="J975" s="16"/>
      <c r="K975" s="16"/>
      <c r="L975" s="16"/>
      <c r="P975" s="13"/>
      <c r="Q975" s="14"/>
      <c r="R975" s="13"/>
    </row>
    <row r="976" ht="15.75" customHeight="1">
      <c r="C976" s="14"/>
      <c r="D976" s="14"/>
      <c r="G976" s="16"/>
      <c r="H976" s="16"/>
      <c r="I976" s="16"/>
      <c r="J976" s="16"/>
      <c r="K976" s="16"/>
      <c r="L976" s="16"/>
      <c r="P976" s="13"/>
      <c r="Q976" s="14"/>
      <c r="R976" s="13"/>
    </row>
    <row r="977" ht="15.75" customHeight="1">
      <c r="C977" s="14"/>
      <c r="D977" s="14"/>
      <c r="G977" s="16"/>
      <c r="H977" s="16"/>
      <c r="I977" s="16"/>
      <c r="J977" s="16"/>
      <c r="K977" s="16"/>
      <c r="L977" s="16"/>
      <c r="P977" s="13"/>
      <c r="Q977" s="14"/>
      <c r="R977" s="13"/>
    </row>
    <row r="978" ht="15.75" customHeight="1">
      <c r="C978" s="14"/>
      <c r="D978" s="14"/>
      <c r="G978" s="16"/>
      <c r="H978" s="16"/>
      <c r="I978" s="16"/>
      <c r="J978" s="16"/>
      <c r="K978" s="16"/>
      <c r="L978" s="16"/>
      <c r="P978" s="13"/>
      <c r="Q978" s="14"/>
      <c r="R978" s="13"/>
    </row>
    <row r="979" ht="15.75" customHeight="1">
      <c r="C979" s="14"/>
      <c r="D979" s="14"/>
      <c r="G979" s="16"/>
      <c r="H979" s="16"/>
      <c r="I979" s="16"/>
      <c r="J979" s="16"/>
      <c r="K979" s="16"/>
      <c r="L979" s="16"/>
      <c r="P979" s="13"/>
      <c r="Q979" s="14"/>
      <c r="R979" s="13"/>
    </row>
    <row r="980" ht="15.75" customHeight="1">
      <c r="C980" s="14"/>
      <c r="D980" s="14"/>
      <c r="G980" s="16"/>
      <c r="H980" s="16"/>
      <c r="I980" s="16"/>
      <c r="J980" s="16"/>
      <c r="K980" s="16"/>
      <c r="L980" s="16"/>
      <c r="P980" s="13"/>
      <c r="Q980" s="14"/>
      <c r="R980" s="13"/>
    </row>
    <row r="981" ht="15.75" customHeight="1">
      <c r="C981" s="14"/>
      <c r="D981" s="14"/>
      <c r="G981" s="16"/>
      <c r="H981" s="16"/>
      <c r="I981" s="16"/>
      <c r="J981" s="16"/>
      <c r="K981" s="16"/>
      <c r="L981" s="16"/>
      <c r="P981" s="13"/>
      <c r="Q981" s="14"/>
      <c r="R981" s="13"/>
    </row>
    <row r="982" ht="15.75" customHeight="1">
      <c r="C982" s="14"/>
      <c r="D982" s="14"/>
      <c r="G982" s="16"/>
      <c r="H982" s="16"/>
      <c r="I982" s="16"/>
      <c r="J982" s="16"/>
      <c r="K982" s="16"/>
      <c r="L982" s="16"/>
      <c r="P982" s="13"/>
      <c r="Q982" s="14"/>
      <c r="R982" s="13"/>
    </row>
    <row r="983" ht="15.75" customHeight="1">
      <c r="C983" s="14"/>
      <c r="D983" s="14"/>
      <c r="G983" s="16"/>
      <c r="H983" s="16"/>
      <c r="I983" s="16"/>
      <c r="J983" s="16"/>
      <c r="K983" s="16"/>
      <c r="L983" s="16"/>
      <c r="P983" s="13"/>
      <c r="Q983" s="14"/>
      <c r="R983" s="13"/>
    </row>
    <row r="984" ht="15.75" customHeight="1">
      <c r="C984" s="14"/>
      <c r="D984" s="14"/>
      <c r="G984" s="16"/>
      <c r="H984" s="16"/>
      <c r="I984" s="16"/>
      <c r="J984" s="16"/>
      <c r="K984" s="16"/>
      <c r="L984" s="16"/>
      <c r="P984" s="13"/>
      <c r="Q984" s="14"/>
      <c r="R984" s="13"/>
    </row>
    <row r="985" ht="15.75" customHeight="1">
      <c r="C985" s="14"/>
      <c r="D985" s="14"/>
      <c r="G985" s="16"/>
      <c r="H985" s="16"/>
      <c r="I985" s="16"/>
      <c r="J985" s="16"/>
      <c r="K985" s="16"/>
      <c r="L985" s="16"/>
      <c r="P985" s="13"/>
      <c r="Q985" s="14"/>
      <c r="R985" s="13"/>
    </row>
    <row r="986" ht="15.75" customHeight="1">
      <c r="C986" s="14"/>
      <c r="D986" s="14"/>
      <c r="G986" s="16"/>
      <c r="H986" s="16"/>
      <c r="I986" s="16"/>
      <c r="J986" s="16"/>
      <c r="K986" s="16"/>
      <c r="L986" s="16"/>
      <c r="P986" s="13"/>
      <c r="Q986" s="14"/>
      <c r="R986" s="13"/>
    </row>
    <row r="987" ht="15.75" customHeight="1">
      <c r="C987" s="14"/>
      <c r="D987" s="14"/>
      <c r="G987" s="16"/>
      <c r="H987" s="16"/>
      <c r="I987" s="16"/>
      <c r="J987" s="16"/>
      <c r="K987" s="16"/>
      <c r="L987" s="16"/>
      <c r="P987" s="13"/>
      <c r="Q987" s="14"/>
      <c r="R987" s="13"/>
    </row>
    <row r="988" ht="15.75" customHeight="1">
      <c r="C988" s="14"/>
      <c r="D988" s="14"/>
      <c r="G988" s="16"/>
      <c r="H988" s="16"/>
      <c r="I988" s="16"/>
      <c r="J988" s="16"/>
      <c r="K988" s="16"/>
      <c r="L988" s="16"/>
      <c r="P988" s="13"/>
      <c r="Q988" s="14"/>
      <c r="R988" s="13"/>
    </row>
    <row r="989" ht="15.75" customHeight="1">
      <c r="C989" s="14"/>
      <c r="D989" s="14"/>
      <c r="G989" s="16"/>
      <c r="H989" s="16"/>
      <c r="I989" s="16"/>
      <c r="J989" s="16"/>
      <c r="K989" s="16"/>
      <c r="L989" s="16"/>
      <c r="P989" s="13"/>
      <c r="Q989" s="14"/>
      <c r="R989" s="13"/>
    </row>
    <row r="990" ht="15.75" customHeight="1">
      <c r="C990" s="14"/>
      <c r="D990" s="14"/>
      <c r="G990" s="16"/>
      <c r="H990" s="16"/>
      <c r="I990" s="16"/>
      <c r="J990" s="16"/>
      <c r="K990" s="16"/>
      <c r="L990" s="16"/>
      <c r="P990" s="13"/>
      <c r="Q990" s="14"/>
      <c r="R990" s="13"/>
    </row>
    <row r="991" ht="15.75" customHeight="1">
      <c r="C991" s="14"/>
      <c r="D991" s="14"/>
      <c r="G991" s="16"/>
      <c r="H991" s="16"/>
      <c r="I991" s="16"/>
      <c r="J991" s="16"/>
      <c r="K991" s="16"/>
      <c r="L991" s="16"/>
      <c r="P991" s="13"/>
      <c r="Q991" s="14"/>
      <c r="R991" s="13"/>
    </row>
    <row r="992" ht="15.75" customHeight="1">
      <c r="C992" s="14"/>
      <c r="D992" s="14"/>
      <c r="G992" s="16"/>
      <c r="H992" s="16"/>
      <c r="I992" s="16"/>
      <c r="J992" s="16"/>
      <c r="K992" s="16"/>
      <c r="L992" s="16"/>
      <c r="P992" s="13"/>
      <c r="Q992" s="14"/>
      <c r="R992" s="13"/>
    </row>
    <row r="993" ht="15.75" customHeight="1">
      <c r="C993" s="14"/>
      <c r="D993" s="14"/>
      <c r="G993" s="16"/>
      <c r="H993" s="16"/>
      <c r="I993" s="16"/>
      <c r="J993" s="16"/>
      <c r="K993" s="16"/>
      <c r="L993" s="16"/>
      <c r="P993" s="13"/>
      <c r="Q993" s="14"/>
      <c r="R993" s="13"/>
    </row>
    <row r="994" ht="15.75" customHeight="1">
      <c r="C994" s="14"/>
      <c r="D994" s="14"/>
      <c r="G994" s="16"/>
      <c r="H994" s="16"/>
      <c r="I994" s="16"/>
      <c r="J994" s="16"/>
      <c r="K994" s="16"/>
      <c r="L994" s="16"/>
      <c r="P994" s="13"/>
      <c r="Q994" s="14"/>
      <c r="R994" s="13"/>
    </row>
    <row r="995" ht="15.75" customHeight="1">
      <c r="C995" s="14"/>
      <c r="D995" s="14"/>
      <c r="G995" s="16"/>
      <c r="H995" s="16"/>
      <c r="I995" s="16"/>
      <c r="J995" s="16"/>
      <c r="K995" s="16"/>
      <c r="L995" s="16"/>
      <c r="P995" s="13"/>
      <c r="Q995" s="14"/>
      <c r="R995" s="13"/>
    </row>
    <row r="996" ht="15.75" customHeight="1">
      <c r="C996" s="14"/>
      <c r="D996" s="14"/>
      <c r="G996" s="16"/>
      <c r="H996" s="16"/>
      <c r="I996" s="16"/>
      <c r="J996" s="16"/>
      <c r="K996" s="16"/>
      <c r="L996" s="16"/>
      <c r="P996" s="13"/>
      <c r="Q996" s="14"/>
      <c r="R996" s="13"/>
    </row>
    <row r="997" ht="15.75" customHeight="1">
      <c r="C997" s="14"/>
      <c r="D997" s="14"/>
      <c r="G997" s="16"/>
      <c r="H997" s="16"/>
      <c r="I997" s="16"/>
      <c r="J997" s="16"/>
      <c r="K997" s="16"/>
      <c r="L997" s="16"/>
      <c r="P997" s="13"/>
      <c r="Q997" s="14"/>
      <c r="R997" s="13"/>
    </row>
    <row r="998" ht="15.75" customHeight="1">
      <c r="C998" s="14"/>
      <c r="D998" s="14"/>
      <c r="G998" s="16"/>
      <c r="H998" s="16"/>
      <c r="I998" s="16"/>
      <c r="J998" s="16"/>
      <c r="K998" s="16"/>
      <c r="L998" s="16"/>
      <c r="P998" s="13"/>
      <c r="Q998" s="14"/>
      <c r="R998" s="13"/>
    </row>
    <row r="999" ht="15.75" customHeight="1">
      <c r="C999" s="14"/>
      <c r="D999" s="14"/>
      <c r="G999" s="16"/>
      <c r="H999" s="16"/>
      <c r="I999" s="16"/>
      <c r="J999" s="16"/>
      <c r="K999" s="16"/>
      <c r="L999" s="16"/>
      <c r="P999" s="13"/>
      <c r="Q999" s="14"/>
      <c r="R999" s="13"/>
    </row>
    <row r="1000" ht="15.75" customHeight="1">
      <c r="C1000" s="14"/>
      <c r="D1000" s="14"/>
      <c r="G1000" s="16"/>
      <c r="H1000" s="16"/>
      <c r="I1000" s="16"/>
      <c r="J1000" s="16"/>
      <c r="K1000" s="16"/>
      <c r="L1000" s="16"/>
      <c r="P1000" s="13"/>
      <c r="Q1000" s="14"/>
      <c r="R1000" s="1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9" t="s">
        <v>363</v>
      </c>
    </row>
    <row r="2">
      <c r="A2" s="20" t="s">
        <v>364</v>
      </c>
    </row>
  </sheetData>
  <hyperlinks>
    <hyperlink r:id="rId1"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2" max="2" width="15.71"/>
    <col customWidth="1" min="4" max="4" width="38.57"/>
  </cols>
  <sheetData>
    <row r="1">
      <c r="A1" s="1" t="s">
        <v>0</v>
      </c>
      <c r="B1" s="5" t="s">
        <v>11</v>
      </c>
      <c r="C1" s="7" t="s">
        <v>365</v>
      </c>
      <c r="D1" s="4" t="s">
        <v>6</v>
      </c>
      <c r="E1" s="4" t="s">
        <v>8</v>
      </c>
    </row>
    <row r="2">
      <c r="A2" s="9" t="s">
        <v>125</v>
      </c>
      <c r="B2" s="11">
        <v>12.0</v>
      </c>
      <c r="C2" s="12" t="s">
        <v>33</v>
      </c>
      <c r="D2" s="16">
        <f>VLOOKUP(A2, Posts!A:H, 7, FALSE)</f>
        <v>84</v>
      </c>
      <c r="E2" s="16">
        <f>VLOOKUP(A2, Posts!A:I, 8, FALSE)
</f>
        <v>897</v>
      </c>
    </row>
    <row r="3">
      <c r="A3" s="9" t="s">
        <v>128</v>
      </c>
      <c r="B3" s="11">
        <v>262.0</v>
      </c>
      <c r="C3" s="12" t="s">
        <v>25</v>
      </c>
      <c r="D3" s="16">
        <f>VLOOKUP(A3, Posts!A:H, 7, FALSE)</f>
        <v>103</v>
      </c>
      <c r="E3" s="16">
        <f>VLOOKUP(A3, Posts!A:I, 8, FALSE)
</f>
        <v>770</v>
      </c>
    </row>
    <row r="4">
      <c r="A4" s="9" t="s">
        <v>211</v>
      </c>
      <c r="B4" s="11">
        <v>201.0</v>
      </c>
      <c r="C4" s="12" t="s">
        <v>33</v>
      </c>
      <c r="D4" s="16">
        <f>VLOOKUP(A4, Posts!A:H, 7, FALSE)</f>
        <v>249</v>
      </c>
      <c r="E4" s="16">
        <f>VLOOKUP(A4, Posts!A:I, 8, FALSE)
</f>
        <v>592</v>
      </c>
    </row>
    <row r="5">
      <c r="A5" s="9" t="s">
        <v>130</v>
      </c>
      <c r="B5" s="11">
        <v>238.0</v>
      </c>
      <c r="C5" s="12" t="s">
        <v>25</v>
      </c>
      <c r="D5" s="16">
        <f>VLOOKUP(A5, Posts!A:H, 7, FALSE)</f>
        <v>129</v>
      </c>
      <c r="E5" s="16">
        <f>VLOOKUP(A5, Posts!A:I, 8, FALSE)
</f>
        <v>643</v>
      </c>
    </row>
    <row r="6">
      <c r="A6" s="9" t="s">
        <v>132</v>
      </c>
      <c r="B6" s="11">
        <v>154.0</v>
      </c>
      <c r="C6" s="12" t="s">
        <v>38</v>
      </c>
      <c r="D6" s="16">
        <f>VLOOKUP(A6, Posts!A:H, 7, FALSE)</f>
        <v>142</v>
      </c>
      <c r="E6" s="16">
        <f>VLOOKUP(A6, Posts!A:I, 8, FALSE)
</f>
        <v>784</v>
      </c>
    </row>
    <row r="7">
      <c r="A7" s="9" t="s">
        <v>214</v>
      </c>
      <c r="B7" s="11">
        <v>148.0</v>
      </c>
      <c r="C7" s="12" t="s">
        <v>25</v>
      </c>
      <c r="D7" s="16">
        <f>VLOOKUP(A7, Posts!A:H, 7, FALSE)</f>
        <v>53</v>
      </c>
      <c r="E7" s="16">
        <f>VLOOKUP(A7, Posts!A:I, 8, FALSE)
</f>
        <v>81</v>
      </c>
    </row>
    <row r="8">
      <c r="A8" s="9" t="s">
        <v>216</v>
      </c>
      <c r="B8" s="11">
        <v>293.0</v>
      </c>
      <c r="C8" s="12" t="s">
        <v>25</v>
      </c>
      <c r="D8" s="16">
        <f>VLOOKUP(A8, Posts!A:H, 7, FALSE)</f>
        <v>59</v>
      </c>
      <c r="E8" s="16">
        <f>VLOOKUP(A8, Posts!A:I, 8, FALSE)
</f>
        <v>163</v>
      </c>
    </row>
    <row r="9">
      <c r="A9" s="9" t="s">
        <v>297</v>
      </c>
      <c r="B9" s="11">
        <v>117.0</v>
      </c>
      <c r="C9" s="12" t="s">
        <v>25</v>
      </c>
      <c r="D9" s="16">
        <f>VLOOKUP(A9, Posts!A:H, 7, FALSE)</f>
        <v>80</v>
      </c>
      <c r="E9" s="16">
        <f>VLOOKUP(A9, Posts!A:I, 8, FALSE)
</f>
        <v>362</v>
      </c>
    </row>
    <row r="10">
      <c r="A10" s="9" t="s">
        <v>300</v>
      </c>
      <c r="B10" s="11">
        <v>287.0</v>
      </c>
      <c r="C10" s="12" t="s">
        <v>38</v>
      </c>
      <c r="D10" s="16">
        <f>VLOOKUP(A10, Posts!A:H, 7, FALSE)</f>
        <v>257</v>
      </c>
      <c r="E10" s="16">
        <f>VLOOKUP(A10, Posts!A:I, 8, FALSE)
</f>
        <v>966</v>
      </c>
    </row>
    <row r="11">
      <c r="A11" s="9" t="s">
        <v>21</v>
      </c>
      <c r="B11" s="11">
        <v>43.0</v>
      </c>
      <c r="C11" s="12" t="s">
        <v>25</v>
      </c>
      <c r="D11" s="16">
        <f>VLOOKUP(A11, Posts!A:H, 7, FALSE)</f>
        <v>199</v>
      </c>
      <c r="E11" s="16">
        <f>VLOOKUP(A11, Posts!A:I, 8, FALSE)
</f>
        <v>772</v>
      </c>
    </row>
    <row r="12">
      <c r="A12" s="9" t="s">
        <v>133</v>
      </c>
      <c r="B12" s="11">
        <v>282.0</v>
      </c>
      <c r="C12" s="12" t="s">
        <v>38</v>
      </c>
      <c r="D12" s="16">
        <f>VLOOKUP(A12, Posts!A:H, 7, FALSE)</f>
        <v>521</v>
      </c>
      <c r="E12" s="16">
        <f>VLOOKUP(A12, Posts!A:I, 8, FALSE)
</f>
        <v>746</v>
      </c>
    </row>
    <row r="13">
      <c r="A13" s="9" t="s">
        <v>302</v>
      </c>
      <c r="B13" s="11">
        <v>11.0</v>
      </c>
      <c r="C13" s="12" t="s">
        <v>33</v>
      </c>
      <c r="D13" s="16">
        <f>VLOOKUP(A13, Posts!A:H, 7, FALSE)</f>
        <v>804</v>
      </c>
      <c r="E13" s="16">
        <f>VLOOKUP(A13, Posts!A:I, 8, FALSE)
</f>
        <v>639</v>
      </c>
    </row>
    <row r="14">
      <c r="A14" s="9" t="s">
        <v>218</v>
      </c>
      <c r="B14" s="11">
        <v>223.0</v>
      </c>
      <c r="C14" s="12" t="s">
        <v>33</v>
      </c>
      <c r="D14" s="16">
        <f>VLOOKUP(A14, Posts!A:H, 7, FALSE)</f>
        <v>1000</v>
      </c>
      <c r="E14" s="16">
        <f>VLOOKUP(A14, Posts!A:I, 8, FALSE)
</f>
        <v>978</v>
      </c>
    </row>
    <row r="15">
      <c r="A15" s="9" t="s">
        <v>303</v>
      </c>
      <c r="B15" s="11">
        <v>19.0</v>
      </c>
      <c r="C15" s="12" t="s">
        <v>33</v>
      </c>
      <c r="D15" s="16">
        <f>VLOOKUP(A15, Posts!A:H, 7, FALSE)</f>
        <v>736</v>
      </c>
      <c r="E15" s="16">
        <f>VLOOKUP(A15, Posts!A:I, 8, FALSE)
</f>
        <v>771</v>
      </c>
    </row>
    <row r="16">
      <c r="A16" s="9" t="s">
        <v>135</v>
      </c>
      <c r="B16" s="11">
        <v>185.0</v>
      </c>
      <c r="C16" s="12" t="s">
        <v>38</v>
      </c>
      <c r="D16" s="16">
        <f>VLOOKUP(A16, Posts!A:H, 7, FALSE)</f>
        <v>498</v>
      </c>
      <c r="E16" s="16">
        <f>VLOOKUP(A16, Posts!A:I, 8, FALSE)
</f>
        <v>701</v>
      </c>
    </row>
    <row r="17">
      <c r="A17" s="9" t="s">
        <v>27</v>
      </c>
      <c r="B17" s="11">
        <v>164.0</v>
      </c>
      <c r="C17" s="12" t="s">
        <v>25</v>
      </c>
      <c r="D17" s="16">
        <f>VLOOKUP(A17, Posts!A:H, 7, FALSE)</f>
        <v>602</v>
      </c>
      <c r="E17" s="16">
        <f>VLOOKUP(A17, Posts!A:I, 8, FALSE)
</f>
        <v>594</v>
      </c>
    </row>
    <row r="18">
      <c r="A18" s="9" t="s">
        <v>136</v>
      </c>
      <c r="B18" s="11">
        <v>64.0</v>
      </c>
      <c r="C18" s="12" t="s">
        <v>38</v>
      </c>
      <c r="D18" s="16">
        <f>VLOOKUP(A18, Posts!A:H, 7, FALSE)</f>
        <v>985</v>
      </c>
      <c r="E18" s="16">
        <f>VLOOKUP(A18, Posts!A:I, 8, FALSE)
</f>
        <v>932</v>
      </c>
    </row>
    <row r="19">
      <c r="A19" s="9" t="s">
        <v>138</v>
      </c>
      <c r="B19" s="11">
        <v>117.0</v>
      </c>
      <c r="C19" s="12" t="s">
        <v>38</v>
      </c>
      <c r="D19" s="16">
        <f>VLOOKUP(A19, Posts!A:H, 7, FALSE)</f>
        <v>1970</v>
      </c>
      <c r="E19" s="16">
        <f>VLOOKUP(A19, Posts!A:I, 8, FALSE)
</f>
        <v>675</v>
      </c>
    </row>
    <row r="20">
      <c r="A20" s="9" t="s">
        <v>139</v>
      </c>
      <c r="B20" s="11">
        <v>82.0</v>
      </c>
      <c r="C20" s="12" t="s">
        <v>33</v>
      </c>
      <c r="D20" s="16">
        <f>VLOOKUP(A20, Posts!A:H, 7, FALSE)</f>
        <v>1164</v>
      </c>
      <c r="E20" s="16">
        <f>VLOOKUP(A20, Posts!A:I, 8, FALSE)
</f>
        <v>616</v>
      </c>
    </row>
    <row r="21">
      <c r="A21" s="9" t="s">
        <v>140</v>
      </c>
      <c r="B21" s="11">
        <v>198.0</v>
      </c>
      <c r="C21" s="12" t="s">
        <v>38</v>
      </c>
      <c r="D21" s="16">
        <f>VLOOKUP(A21, Posts!A:H, 7, FALSE)</f>
        <v>2234</v>
      </c>
      <c r="E21" s="16">
        <f>VLOOKUP(A21, Posts!A:I, 8, FALSE)
</f>
        <v>653</v>
      </c>
    </row>
    <row r="22">
      <c r="A22" s="9" t="s">
        <v>220</v>
      </c>
      <c r="B22" s="11">
        <v>184.0</v>
      </c>
      <c r="C22" s="12" t="s">
        <v>33</v>
      </c>
      <c r="D22" s="16">
        <f>VLOOKUP(A22, Posts!A:H, 7, FALSE)</f>
        <v>432</v>
      </c>
      <c r="E22" s="16">
        <f>VLOOKUP(A22, Posts!A:I, 8, FALSE)
</f>
        <v>171</v>
      </c>
    </row>
    <row r="23">
      <c r="A23" s="9" t="s">
        <v>141</v>
      </c>
      <c r="B23" s="11">
        <v>208.0</v>
      </c>
      <c r="C23" s="12" t="s">
        <v>38</v>
      </c>
      <c r="D23" s="16">
        <f>VLOOKUP(A23, Posts!A:H, 7, FALSE)</f>
        <v>360</v>
      </c>
      <c r="E23" s="16">
        <f>VLOOKUP(A23, Posts!A:I, 8, FALSE)
</f>
        <v>590</v>
      </c>
    </row>
    <row r="24">
      <c r="A24" s="9" t="s">
        <v>142</v>
      </c>
      <c r="B24" s="11">
        <v>282.0</v>
      </c>
      <c r="C24" s="12" t="s">
        <v>25</v>
      </c>
      <c r="D24" s="16">
        <f>VLOOKUP(A24, Posts!A:H, 7, FALSE)</f>
        <v>438</v>
      </c>
      <c r="E24" s="16">
        <f>VLOOKUP(A24, Posts!A:I, 8, FALSE)
</f>
        <v>153</v>
      </c>
    </row>
    <row r="25">
      <c r="A25" s="9" t="s">
        <v>144</v>
      </c>
      <c r="B25" s="11">
        <v>150.0</v>
      </c>
      <c r="C25" s="12" t="s">
        <v>33</v>
      </c>
      <c r="D25" s="16">
        <f>VLOOKUP(A25, Posts!A:H, 7, FALSE)</f>
        <v>1431</v>
      </c>
      <c r="E25" s="16">
        <f>VLOOKUP(A25, Posts!A:I, 8, FALSE)
</f>
        <v>951</v>
      </c>
    </row>
    <row r="26">
      <c r="A26" s="9" t="s">
        <v>145</v>
      </c>
      <c r="B26" s="11">
        <v>20.0</v>
      </c>
      <c r="C26" s="12" t="s">
        <v>38</v>
      </c>
      <c r="D26" s="16">
        <f>VLOOKUP(A26, Posts!A:H, 7, FALSE)</f>
        <v>2603</v>
      </c>
      <c r="E26" s="16">
        <f>VLOOKUP(A26, Posts!A:I, 8, FALSE)
</f>
        <v>690</v>
      </c>
    </row>
    <row r="27">
      <c r="A27" s="9" t="s">
        <v>30</v>
      </c>
      <c r="B27" s="11">
        <v>212.0</v>
      </c>
      <c r="C27" s="12" t="s">
        <v>33</v>
      </c>
      <c r="D27" s="16">
        <f>VLOOKUP(A27, Posts!A:H, 7, FALSE)</f>
        <v>886</v>
      </c>
      <c r="E27" s="16">
        <f>VLOOKUP(A27, Posts!A:I, 8, FALSE)
</f>
        <v>126</v>
      </c>
    </row>
    <row r="28">
      <c r="A28" s="9" t="s">
        <v>304</v>
      </c>
      <c r="B28" s="11">
        <v>63.0</v>
      </c>
      <c r="C28" s="12" t="s">
        <v>38</v>
      </c>
      <c r="D28" s="16">
        <f>VLOOKUP(A28, Posts!A:H, 7, FALSE)</f>
        <v>4661</v>
      </c>
      <c r="E28" s="16">
        <f>VLOOKUP(A28, Posts!A:I, 8, FALSE)
</f>
        <v>935</v>
      </c>
    </row>
    <row r="29">
      <c r="A29" s="9" t="s">
        <v>34</v>
      </c>
      <c r="B29" s="11">
        <v>93.0</v>
      </c>
      <c r="C29" s="12" t="s">
        <v>25</v>
      </c>
      <c r="D29" s="16">
        <f>VLOOKUP(A29, Posts!A:H, 7, FALSE)</f>
        <v>562</v>
      </c>
      <c r="E29" s="16">
        <f>VLOOKUP(A29, Posts!A:I, 8, FALSE)
</f>
        <v>158</v>
      </c>
    </row>
    <row r="30">
      <c r="A30" s="9" t="s">
        <v>221</v>
      </c>
      <c r="B30" s="11">
        <v>270.0</v>
      </c>
      <c r="C30" s="12" t="s">
        <v>25</v>
      </c>
      <c r="D30" s="16">
        <f>VLOOKUP(A30, Posts!A:H, 7, FALSE)</f>
        <v>1188</v>
      </c>
      <c r="E30" s="16">
        <f>VLOOKUP(A30, Posts!A:I, 8, FALSE)
</f>
        <v>470</v>
      </c>
    </row>
    <row r="31">
      <c r="A31" s="9" t="s">
        <v>146</v>
      </c>
      <c r="B31" s="11">
        <v>121.0</v>
      </c>
      <c r="C31" s="12" t="s">
        <v>25</v>
      </c>
      <c r="D31" s="16">
        <f>VLOOKUP(A31, Posts!A:H, 7, FALSE)</f>
        <v>1741</v>
      </c>
      <c r="E31" s="16">
        <f>VLOOKUP(A31, Posts!A:I, 8, FALSE)
</f>
        <v>164</v>
      </c>
    </row>
    <row r="32">
      <c r="A32" s="9" t="s">
        <v>222</v>
      </c>
      <c r="B32" s="11">
        <v>41.0</v>
      </c>
      <c r="C32" s="12" t="s">
        <v>33</v>
      </c>
      <c r="D32" s="16">
        <f>VLOOKUP(A32, Posts!A:H, 7, FALSE)</f>
        <v>1877</v>
      </c>
      <c r="E32" s="16">
        <f>VLOOKUP(A32, Posts!A:I, 8, FALSE)
</f>
        <v>745</v>
      </c>
    </row>
    <row r="33">
      <c r="A33" s="9" t="s">
        <v>306</v>
      </c>
      <c r="B33" s="11">
        <v>102.0</v>
      </c>
      <c r="C33" s="12" t="s">
        <v>38</v>
      </c>
      <c r="D33" s="16">
        <f>VLOOKUP(A33, Posts!A:H, 7, FALSE)</f>
        <v>4188</v>
      </c>
      <c r="E33" s="16">
        <f>VLOOKUP(A33, Posts!A:I, 8, FALSE)
</f>
        <v>942</v>
      </c>
    </row>
    <row r="34">
      <c r="A34" s="9" t="s">
        <v>37</v>
      </c>
      <c r="B34" s="11">
        <v>238.0</v>
      </c>
      <c r="C34" s="12" t="s">
        <v>38</v>
      </c>
      <c r="D34" s="16">
        <f>VLOOKUP(A34, Posts!A:H, 7, FALSE)</f>
        <v>4236</v>
      </c>
      <c r="E34" s="16">
        <f>VLOOKUP(A34, Posts!A:I, 8, FALSE)
</f>
        <v>711</v>
      </c>
    </row>
    <row r="35">
      <c r="A35" s="9" t="s">
        <v>223</v>
      </c>
      <c r="B35" s="11">
        <v>24.0</v>
      </c>
      <c r="C35" s="12" t="s">
        <v>33</v>
      </c>
      <c r="D35" s="16">
        <f>VLOOKUP(A35, Posts!A:H, 7, FALSE)</f>
        <v>2166</v>
      </c>
      <c r="E35" s="16">
        <f>VLOOKUP(A35, Posts!A:I, 8, FALSE)
</f>
        <v>354</v>
      </c>
    </row>
    <row r="36">
      <c r="A36" s="9" t="s">
        <v>308</v>
      </c>
      <c r="B36" s="11">
        <v>239.0</v>
      </c>
      <c r="C36" s="12" t="s">
        <v>33</v>
      </c>
      <c r="D36" s="16">
        <f>VLOOKUP(A36, Posts!A:H, 7, FALSE)</f>
        <v>606</v>
      </c>
      <c r="E36" s="16">
        <f>VLOOKUP(A36, Posts!A:I, 8, FALSE)
</f>
        <v>789</v>
      </c>
    </row>
    <row r="37">
      <c r="A37" s="9" t="s">
        <v>39</v>
      </c>
      <c r="B37" s="11">
        <v>160.0</v>
      </c>
      <c r="C37" s="12" t="s">
        <v>38</v>
      </c>
      <c r="D37" s="16">
        <f>VLOOKUP(A37, Posts!A:H, 7, FALSE)</f>
        <v>400</v>
      </c>
      <c r="E37" s="16">
        <f>VLOOKUP(A37, Posts!A:I, 8, FALSE)
</f>
        <v>680</v>
      </c>
    </row>
    <row r="38">
      <c r="A38" s="9" t="s">
        <v>147</v>
      </c>
      <c r="B38" s="11">
        <v>157.0</v>
      </c>
      <c r="C38" s="12" t="s">
        <v>33</v>
      </c>
      <c r="D38" s="16">
        <f>VLOOKUP(A38, Posts!A:H, 7, FALSE)</f>
        <v>4363</v>
      </c>
      <c r="E38" s="16">
        <f>VLOOKUP(A38, Posts!A:I, 8, FALSE)
</f>
        <v>649</v>
      </c>
    </row>
    <row r="39">
      <c r="A39" s="9" t="s">
        <v>40</v>
      </c>
      <c r="B39" s="11">
        <v>91.0</v>
      </c>
      <c r="C39" s="12" t="s">
        <v>33</v>
      </c>
      <c r="D39" s="16">
        <f>VLOOKUP(A39, Posts!A:H, 7, FALSE)</f>
        <v>780</v>
      </c>
      <c r="E39" s="16">
        <f>VLOOKUP(A39, Posts!A:I, 8, FALSE)
</f>
        <v>928</v>
      </c>
    </row>
    <row r="40">
      <c r="A40" s="9" t="s">
        <v>225</v>
      </c>
      <c r="B40" s="11">
        <v>240.0</v>
      </c>
      <c r="C40" s="12" t="s">
        <v>38</v>
      </c>
      <c r="D40" s="16">
        <f>VLOOKUP(A40, Posts!A:H, 7, FALSE)</f>
        <v>3170</v>
      </c>
      <c r="E40" s="16">
        <f>VLOOKUP(A40, Posts!A:I, 8, FALSE)
</f>
        <v>857</v>
      </c>
    </row>
    <row r="41">
      <c r="A41" s="9" t="s">
        <v>148</v>
      </c>
      <c r="B41" s="11">
        <v>132.0</v>
      </c>
      <c r="C41" s="12" t="s">
        <v>25</v>
      </c>
      <c r="D41" s="16">
        <f>VLOOKUP(A41, Posts!A:H, 7, FALSE)</f>
        <v>4501</v>
      </c>
      <c r="E41" s="16">
        <f>VLOOKUP(A41, Posts!A:I, 8, FALSE)
</f>
        <v>375</v>
      </c>
    </row>
    <row r="42">
      <c r="A42" s="9" t="s">
        <v>149</v>
      </c>
      <c r="B42" s="11">
        <v>45.0</v>
      </c>
      <c r="C42" s="12" t="s">
        <v>25</v>
      </c>
      <c r="D42" s="16">
        <f>VLOOKUP(A42, Posts!A:H, 7, FALSE)</f>
        <v>4561</v>
      </c>
      <c r="E42" s="16">
        <f>VLOOKUP(A42, Posts!A:I, 8, FALSE)
</f>
        <v>51</v>
      </c>
    </row>
    <row r="43">
      <c r="A43" s="9" t="s">
        <v>309</v>
      </c>
      <c r="B43" s="11">
        <v>241.0</v>
      </c>
      <c r="C43" s="12" t="s">
        <v>33</v>
      </c>
      <c r="D43" s="16">
        <f>VLOOKUP(A43, Posts!A:H, 7, FALSE)</f>
        <v>1543</v>
      </c>
      <c r="E43" s="16">
        <f>VLOOKUP(A43, Posts!A:I, 8, FALSE)
</f>
        <v>820</v>
      </c>
    </row>
    <row r="44">
      <c r="A44" s="9" t="s">
        <v>150</v>
      </c>
      <c r="B44" s="11">
        <v>137.0</v>
      </c>
      <c r="C44" s="12" t="s">
        <v>25</v>
      </c>
      <c r="D44" s="16">
        <f>VLOOKUP(A44, Posts!A:H, 7, FALSE)</f>
        <v>2174</v>
      </c>
      <c r="E44" s="16">
        <f>VLOOKUP(A44, Posts!A:I, 8, FALSE)
</f>
        <v>658</v>
      </c>
    </row>
    <row r="45">
      <c r="A45" s="9" t="s">
        <v>41</v>
      </c>
      <c r="B45" s="11">
        <v>17.0</v>
      </c>
      <c r="C45" s="12" t="s">
        <v>38</v>
      </c>
      <c r="D45" s="16">
        <f>VLOOKUP(A45, Posts!A:H, 7, FALSE)</f>
        <v>2120</v>
      </c>
      <c r="E45" s="16">
        <f>VLOOKUP(A45, Posts!A:I, 8, FALSE)
</f>
        <v>158</v>
      </c>
    </row>
    <row r="46">
      <c r="A46" s="9" t="s">
        <v>311</v>
      </c>
      <c r="B46" s="11">
        <v>200.0</v>
      </c>
      <c r="C46" s="12" t="s">
        <v>33</v>
      </c>
      <c r="D46" s="16">
        <f>VLOOKUP(A46, Posts!A:H, 7, FALSE)</f>
        <v>3065</v>
      </c>
      <c r="E46" s="16">
        <f>VLOOKUP(A46, Posts!A:I, 8, FALSE)
</f>
        <v>772</v>
      </c>
    </row>
    <row r="47">
      <c r="A47" s="9" t="s">
        <v>151</v>
      </c>
      <c r="B47" s="11">
        <v>221.0</v>
      </c>
      <c r="C47" s="12" t="s">
        <v>38</v>
      </c>
      <c r="D47" s="16">
        <f>VLOOKUP(A47, Posts!A:H, 7, FALSE)</f>
        <v>2566</v>
      </c>
      <c r="E47" s="16">
        <f>VLOOKUP(A47, Posts!A:I, 8, FALSE)
</f>
        <v>118</v>
      </c>
    </row>
    <row r="48">
      <c r="A48" s="9" t="s">
        <v>42</v>
      </c>
      <c r="B48" s="11">
        <v>277.0</v>
      </c>
      <c r="C48" s="12" t="s">
        <v>38</v>
      </c>
      <c r="D48" s="16">
        <f>VLOOKUP(A48, Posts!A:H, 7, FALSE)</f>
        <v>3008</v>
      </c>
      <c r="E48" s="16">
        <f>VLOOKUP(A48, Posts!A:I, 8, FALSE)
</f>
        <v>94</v>
      </c>
    </row>
    <row r="49">
      <c r="A49" s="9" t="s">
        <v>226</v>
      </c>
      <c r="B49" s="11">
        <v>197.0</v>
      </c>
      <c r="C49" s="12" t="s">
        <v>38</v>
      </c>
      <c r="D49" s="16">
        <f>VLOOKUP(A49, Posts!A:H, 7, FALSE)</f>
        <v>1436</v>
      </c>
      <c r="E49" s="16">
        <f>VLOOKUP(A49, Posts!A:I, 8, FALSE)
</f>
        <v>765</v>
      </c>
    </row>
    <row r="50">
      <c r="A50" s="9" t="s">
        <v>152</v>
      </c>
      <c r="B50" s="11">
        <v>195.0</v>
      </c>
      <c r="C50" s="12" t="s">
        <v>33</v>
      </c>
      <c r="D50" s="16">
        <f>VLOOKUP(A50, Posts!A:H, 7, FALSE)</f>
        <v>3575</v>
      </c>
      <c r="E50" s="16">
        <f>VLOOKUP(A50, Posts!A:I, 8, FALSE)
</f>
        <v>749</v>
      </c>
    </row>
    <row r="51">
      <c r="A51" s="9" t="s">
        <v>43</v>
      </c>
      <c r="B51" s="11">
        <v>63.0</v>
      </c>
      <c r="C51" s="12" t="s">
        <v>25</v>
      </c>
      <c r="D51" s="16">
        <f>VLOOKUP(A51, Posts!A:H, 7, FALSE)</f>
        <v>1249</v>
      </c>
      <c r="E51" s="16">
        <f>VLOOKUP(A51, Posts!A:I, 8, FALSE)
</f>
        <v>116</v>
      </c>
    </row>
    <row r="52">
      <c r="A52" s="9" t="s">
        <v>153</v>
      </c>
      <c r="B52" s="11">
        <v>130.0</v>
      </c>
      <c r="C52" s="12" t="s">
        <v>33</v>
      </c>
      <c r="D52" s="16">
        <f>VLOOKUP(A52, Posts!A:H, 7, FALSE)</f>
        <v>3134</v>
      </c>
      <c r="E52" s="16">
        <f>VLOOKUP(A52, Posts!A:I, 8, FALSE)
</f>
        <v>888</v>
      </c>
    </row>
    <row r="53">
      <c r="A53" s="9" t="s">
        <v>154</v>
      </c>
      <c r="B53" s="11">
        <v>172.0</v>
      </c>
      <c r="C53" s="12" t="s">
        <v>33</v>
      </c>
      <c r="D53" s="16">
        <f>VLOOKUP(A53, Posts!A:H, 7, FALSE)</f>
        <v>3601</v>
      </c>
      <c r="E53" s="16">
        <f>VLOOKUP(A53, Posts!A:I, 8, FALSE)
</f>
        <v>695</v>
      </c>
    </row>
    <row r="54">
      <c r="A54" s="9" t="s">
        <v>228</v>
      </c>
      <c r="B54" s="11">
        <v>137.0</v>
      </c>
      <c r="C54" s="12" t="s">
        <v>25</v>
      </c>
      <c r="D54" s="16">
        <f>VLOOKUP(A54, Posts!A:H, 7, FALSE)</f>
        <v>1556</v>
      </c>
      <c r="E54" s="16">
        <f>VLOOKUP(A54, Posts!A:I, 8, FALSE)
</f>
        <v>195</v>
      </c>
    </row>
    <row r="55">
      <c r="A55" s="9" t="s">
        <v>155</v>
      </c>
      <c r="B55" s="11">
        <v>176.0</v>
      </c>
      <c r="C55" s="12" t="s">
        <v>33</v>
      </c>
      <c r="D55" s="16">
        <f>VLOOKUP(A55, Posts!A:H, 7, FALSE)</f>
        <v>4133</v>
      </c>
      <c r="E55" s="16">
        <f>VLOOKUP(A55, Posts!A:I, 8, FALSE)
</f>
        <v>466</v>
      </c>
    </row>
    <row r="56">
      <c r="A56" s="9" t="s">
        <v>229</v>
      </c>
      <c r="B56" s="11">
        <v>158.0</v>
      </c>
      <c r="C56" s="12" t="s">
        <v>25</v>
      </c>
      <c r="D56" s="16">
        <f>VLOOKUP(A56, Posts!A:H, 7, FALSE)</f>
        <v>1048</v>
      </c>
      <c r="E56" s="16">
        <f>VLOOKUP(A56, Posts!A:I, 8, FALSE)
</f>
        <v>374</v>
      </c>
    </row>
    <row r="57">
      <c r="A57" s="9" t="s">
        <v>44</v>
      </c>
      <c r="B57" s="11">
        <v>47.0</v>
      </c>
      <c r="C57" s="12" t="s">
        <v>33</v>
      </c>
      <c r="D57" s="16">
        <f>VLOOKUP(A57, Posts!A:H, 7, FALSE)</f>
        <v>4804</v>
      </c>
      <c r="E57" s="16">
        <f>VLOOKUP(A57, Posts!A:I, 8, FALSE)
</f>
        <v>550</v>
      </c>
    </row>
    <row r="58">
      <c r="A58" s="9" t="s">
        <v>312</v>
      </c>
      <c r="B58" s="11">
        <v>228.0</v>
      </c>
      <c r="C58" s="12" t="s">
        <v>38</v>
      </c>
      <c r="D58" s="16">
        <f>VLOOKUP(A58, Posts!A:H, 7, FALSE)</f>
        <v>3389</v>
      </c>
      <c r="E58" s="16">
        <f>VLOOKUP(A58, Posts!A:I, 8, FALSE)
</f>
        <v>344</v>
      </c>
    </row>
    <row r="59">
      <c r="A59" s="9" t="s">
        <v>156</v>
      </c>
      <c r="B59" s="11">
        <v>73.0</v>
      </c>
      <c r="C59" s="12" t="s">
        <v>33</v>
      </c>
      <c r="D59" s="16">
        <f>VLOOKUP(A59, Posts!A:H, 7, FALSE)</f>
        <v>2610</v>
      </c>
      <c r="E59" s="16">
        <f>VLOOKUP(A59, Posts!A:I, 8, FALSE)
</f>
        <v>126</v>
      </c>
    </row>
    <row r="60">
      <c r="A60" s="9" t="s">
        <v>157</v>
      </c>
      <c r="B60" s="11">
        <v>230.0</v>
      </c>
      <c r="C60" s="12" t="s">
        <v>38</v>
      </c>
      <c r="D60" s="16">
        <f>VLOOKUP(A60, Posts!A:H, 7, FALSE)</f>
        <v>4177</v>
      </c>
      <c r="E60" s="16">
        <f>VLOOKUP(A60, Posts!A:I, 8, FALSE)
</f>
        <v>569</v>
      </c>
    </row>
    <row r="61">
      <c r="A61" s="9" t="s">
        <v>230</v>
      </c>
      <c r="B61" s="11">
        <v>275.0</v>
      </c>
      <c r="C61" s="12" t="s">
        <v>33</v>
      </c>
      <c r="D61" s="16">
        <f>VLOOKUP(A61, Posts!A:H, 7, FALSE)</f>
        <v>2278</v>
      </c>
      <c r="E61" s="16">
        <f>VLOOKUP(A61, Posts!A:I, 8, FALSE)
</f>
        <v>10</v>
      </c>
    </row>
    <row r="62">
      <c r="A62" s="9" t="s">
        <v>46</v>
      </c>
      <c r="B62" s="11">
        <v>275.0</v>
      </c>
      <c r="C62" s="12" t="s">
        <v>25</v>
      </c>
      <c r="D62" s="16">
        <f>VLOOKUP(A62, Posts!A:H, 7, FALSE)</f>
        <v>1869</v>
      </c>
      <c r="E62" s="16">
        <f>VLOOKUP(A62, Posts!A:I, 8, FALSE)
</f>
        <v>453</v>
      </c>
    </row>
    <row r="63">
      <c r="A63" s="9" t="s">
        <v>231</v>
      </c>
      <c r="B63" s="11">
        <v>21.0</v>
      </c>
      <c r="C63" s="12" t="s">
        <v>38</v>
      </c>
      <c r="D63" s="16">
        <f>VLOOKUP(A63, Posts!A:H, 7, FALSE)</f>
        <v>2120</v>
      </c>
      <c r="E63" s="16">
        <f>VLOOKUP(A63, Posts!A:I, 8, FALSE)
</f>
        <v>38</v>
      </c>
    </row>
    <row r="64">
      <c r="A64" s="9" t="s">
        <v>49</v>
      </c>
      <c r="B64" s="11">
        <v>210.0</v>
      </c>
      <c r="C64" s="12" t="s">
        <v>33</v>
      </c>
      <c r="D64" s="16">
        <f>VLOOKUP(A64, Posts!A:H, 7, FALSE)</f>
        <v>4767</v>
      </c>
      <c r="E64" s="16">
        <f>VLOOKUP(A64, Posts!A:I, 8, FALSE)
</f>
        <v>190</v>
      </c>
    </row>
    <row r="65">
      <c r="A65" s="9" t="s">
        <v>158</v>
      </c>
      <c r="B65" s="11">
        <v>205.0</v>
      </c>
      <c r="C65" s="12" t="s">
        <v>38</v>
      </c>
      <c r="D65" s="16">
        <f>VLOOKUP(A65, Posts!A:H, 7, FALSE)</f>
        <v>456</v>
      </c>
      <c r="E65" s="16">
        <f>VLOOKUP(A65, Posts!A:I, 8, FALSE)
</f>
        <v>629</v>
      </c>
    </row>
    <row r="66">
      <c r="A66" s="9" t="s">
        <v>52</v>
      </c>
      <c r="B66" s="11">
        <v>89.0</v>
      </c>
      <c r="C66" s="12" t="s">
        <v>33</v>
      </c>
      <c r="D66" s="16">
        <f>VLOOKUP(A66, Posts!A:H, 7, FALSE)</f>
        <v>4731</v>
      </c>
      <c r="E66" s="16">
        <f>VLOOKUP(A66, Posts!A:I, 8, FALSE)
</f>
        <v>173</v>
      </c>
    </row>
    <row r="67">
      <c r="A67" s="9" t="s">
        <v>53</v>
      </c>
      <c r="B67" s="11">
        <v>256.0</v>
      </c>
      <c r="C67" s="12" t="s">
        <v>25</v>
      </c>
      <c r="D67" s="16">
        <f>VLOOKUP(A67, Posts!A:H, 7, FALSE)</f>
        <v>2945</v>
      </c>
      <c r="E67" s="16">
        <f>VLOOKUP(A67, Posts!A:I, 8, FALSE)
</f>
        <v>930</v>
      </c>
    </row>
    <row r="68">
      <c r="A68" s="9" t="s">
        <v>232</v>
      </c>
      <c r="B68" s="11">
        <v>212.0</v>
      </c>
      <c r="C68" s="12" t="s">
        <v>25</v>
      </c>
      <c r="D68" s="16">
        <f>VLOOKUP(A68, Posts!A:H, 7, FALSE)</f>
        <v>754</v>
      </c>
      <c r="E68" s="16">
        <f>VLOOKUP(A68, Posts!A:I, 8, FALSE)
</f>
        <v>197</v>
      </c>
    </row>
    <row r="69">
      <c r="A69" s="9" t="s">
        <v>54</v>
      </c>
      <c r="B69" s="11">
        <v>36.0</v>
      </c>
      <c r="C69" s="12" t="s">
        <v>33</v>
      </c>
      <c r="D69" s="16">
        <f>VLOOKUP(A69, Posts!A:H, 7, FALSE)</f>
        <v>3024</v>
      </c>
      <c r="E69" s="16">
        <f>VLOOKUP(A69, Posts!A:I, 8, FALSE)
</f>
        <v>925</v>
      </c>
    </row>
    <row r="70">
      <c r="A70" s="9" t="s">
        <v>55</v>
      </c>
      <c r="B70" s="11">
        <v>122.0</v>
      </c>
      <c r="C70" s="12" t="s">
        <v>25</v>
      </c>
      <c r="D70" s="16">
        <f>VLOOKUP(A70, Posts!A:H, 7, FALSE)</f>
        <v>4321</v>
      </c>
      <c r="E70" s="16">
        <f>VLOOKUP(A70, Posts!A:I, 8, FALSE)
</f>
        <v>874</v>
      </c>
    </row>
    <row r="71">
      <c r="A71" s="9" t="s">
        <v>233</v>
      </c>
      <c r="B71" s="11">
        <v>297.0</v>
      </c>
      <c r="C71" s="12" t="s">
        <v>38</v>
      </c>
      <c r="D71" s="16">
        <f>VLOOKUP(A71, Posts!A:H, 7, FALSE)</f>
        <v>1957</v>
      </c>
      <c r="E71" s="16">
        <f>VLOOKUP(A71, Posts!A:I, 8, FALSE)
</f>
        <v>877</v>
      </c>
    </row>
    <row r="72">
      <c r="A72" s="9" t="s">
        <v>234</v>
      </c>
      <c r="B72" s="11">
        <v>170.0</v>
      </c>
      <c r="C72" s="12" t="s">
        <v>25</v>
      </c>
      <c r="D72" s="16">
        <f>VLOOKUP(A72, Posts!A:H, 7, FALSE)</f>
        <v>2147</v>
      </c>
      <c r="E72" s="16">
        <f>VLOOKUP(A72, Posts!A:I, 8, FALSE)
</f>
        <v>430</v>
      </c>
    </row>
    <row r="73">
      <c r="A73" s="9" t="s">
        <v>159</v>
      </c>
      <c r="B73" s="11">
        <v>79.0</v>
      </c>
      <c r="C73" s="12" t="s">
        <v>38</v>
      </c>
      <c r="D73" s="16">
        <f>VLOOKUP(A73, Posts!A:H, 7, FALSE)</f>
        <v>432</v>
      </c>
      <c r="E73" s="16">
        <f>VLOOKUP(A73, Posts!A:I, 8, FALSE)
</f>
        <v>624</v>
      </c>
    </row>
    <row r="74">
      <c r="A74" s="9" t="s">
        <v>235</v>
      </c>
      <c r="B74" s="11">
        <v>97.0</v>
      </c>
      <c r="C74" s="12" t="s">
        <v>25</v>
      </c>
      <c r="D74" s="16">
        <f>VLOOKUP(A74, Posts!A:H, 7, FALSE)</f>
        <v>1108</v>
      </c>
      <c r="E74" s="16">
        <f>VLOOKUP(A74, Posts!A:I, 8, FALSE)
</f>
        <v>177</v>
      </c>
    </row>
    <row r="75">
      <c r="A75" s="9" t="s">
        <v>236</v>
      </c>
      <c r="B75" s="11">
        <v>180.0</v>
      </c>
      <c r="C75" s="12" t="s">
        <v>33</v>
      </c>
      <c r="D75" s="16">
        <f>VLOOKUP(A75, Posts!A:H, 7, FALSE)</f>
        <v>2214</v>
      </c>
      <c r="E75" s="16">
        <f>VLOOKUP(A75, Posts!A:I, 8, FALSE)
</f>
        <v>249</v>
      </c>
    </row>
    <row r="76">
      <c r="A76" s="9" t="s">
        <v>160</v>
      </c>
      <c r="B76" s="11">
        <v>46.0</v>
      </c>
      <c r="C76" s="12" t="s">
        <v>38</v>
      </c>
      <c r="D76" s="16">
        <f>VLOOKUP(A76, Posts!A:H, 7, FALSE)</f>
        <v>2647</v>
      </c>
      <c r="E76" s="16">
        <f>VLOOKUP(A76, Posts!A:I, 8, FALSE)
</f>
        <v>304</v>
      </c>
    </row>
    <row r="77">
      <c r="A77" s="9" t="s">
        <v>313</v>
      </c>
      <c r="B77" s="11">
        <v>131.0</v>
      </c>
      <c r="C77" s="12" t="s">
        <v>25</v>
      </c>
      <c r="D77" s="16">
        <f>VLOOKUP(A77, Posts!A:H, 7, FALSE)</f>
        <v>3704</v>
      </c>
      <c r="E77" s="16">
        <f>VLOOKUP(A77, Posts!A:I, 8, FALSE)
</f>
        <v>186</v>
      </c>
    </row>
    <row r="78">
      <c r="A78" s="9" t="s">
        <v>56</v>
      </c>
      <c r="B78" s="11">
        <v>58.0</v>
      </c>
      <c r="C78" s="12" t="s">
        <v>33</v>
      </c>
      <c r="D78" s="16">
        <f>VLOOKUP(A78, Posts!A:H, 7, FALSE)</f>
        <v>1741</v>
      </c>
      <c r="E78" s="16">
        <f>VLOOKUP(A78, Posts!A:I, 8, FALSE)
</f>
        <v>831</v>
      </c>
    </row>
    <row r="79">
      <c r="A79" s="9" t="s">
        <v>237</v>
      </c>
      <c r="B79" s="11">
        <v>167.0</v>
      </c>
      <c r="C79" s="12" t="s">
        <v>38</v>
      </c>
      <c r="D79" s="16">
        <f>VLOOKUP(A79, Posts!A:H, 7, FALSE)</f>
        <v>3649</v>
      </c>
      <c r="E79" s="16">
        <f>VLOOKUP(A79, Posts!A:I, 8, FALSE)
</f>
        <v>215</v>
      </c>
    </row>
    <row r="80">
      <c r="A80" s="9" t="s">
        <v>238</v>
      </c>
      <c r="B80" s="11">
        <v>127.0</v>
      </c>
      <c r="C80" s="12" t="s">
        <v>38</v>
      </c>
      <c r="D80" s="16">
        <f>VLOOKUP(A80, Posts!A:H, 7, FALSE)</f>
        <v>2704</v>
      </c>
      <c r="E80" s="16">
        <f>VLOOKUP(A80, Posts!A:I, 8, FALSE)
</f>
        <v>752</v>
      </c>
    </row>
    <row r="81">
      <c r="A81" s="9" t="s">
        <v>239</v>
      </c>
      <c r="B81" s="11">
        <v>235.0</v>
      </c>
      <c r="C81" s="12" t="s">
        <v>38</v>
      </c>
      <c r="D81" s="16">
        <f>VLOOKUP(A81, Posts!A:H, 7, FALSE)</f>
        <v>1952</v>
      </c>
      <c r="E81" s="16">
        <f>VLOOKUP(A81, Posts!A:I, 8, FALSE)
</f>
        <v>344</v>
      </c>
    </row>
    <row r="82">
      <c r="A82" s="9" t="s">
        <v>314</v>
      </c>
      <c r="B82" s="11">
        <v>52.0</v>
      </c>
      <c r="C82" s="12" t="s">
        <v>38</v>
      </c>
      <c r="D82" s="16">
        <f>VLOOKUP(A82, Posts!A:H, 7, FALSE)</f>
        <v>1686</v>
      </c>
      <c r="E82" s="16">
        <f>VLOOKUP(A82, Posts!A:I, 8, FALSE)
</f>
        <v>904</v>
      </c>
    </row>
    <row r="83">
      <c r="A83" s="9" t="s">
        <v>161</v>
      </c>
      <c r="B83" s="11">
        <v>84.0</v>
      </c>
      <c r="C83" s="12" t="s">
        <v>33</v>
      </c>
      <c r="D83" s="16">
        <f>VLOOKUP(A83, Posts!A:H, 7, FALSE)</f>
        <v>904</v>
      </c>
      <c r="E83" s="16">
        <f>VLOOKUP(A83, Posts!A:I, 8, FALSE)
</f>
        <v>973</v>
      </c>
    </row>
    <row r="84">
      <c r="A84" s="9" t="s">
        <v>315</v>
      </c>
      <c r="B84" s="11">
        <v>112.0</v>
      </c>
      <c r="C84" s="12" t="s">
        <v>33</v>
      </c>
      <c r="D84" s="16">
        <f>VLOOKUP(A84, Posts!A:H, 7, FALSE)</f>
        <v>1094</v>
      </c>
      <c r="E84" s="16">
        <f>VLOOKUP(A84, Posts!A:I, 8, FALSE)
</f>
        <v>472</v>
      </c>
    </row>
    <row r="85">
      <c r="A85" s="9" t="s">
        <v>240</v>
      </c>
      <c r="B85" s="11">
        <v>234.0</v>
      </c>
      <c r="C85" s="12" t="s">
        <v>38</v>
      </c>
      <c r="D85" s="16">
        <f>VLOOKUP(A85, Posts!A:H, 7, FALSE)</f>
        <v>305</v>
      </c>
      <c r="E85" s="16">
        <f>VLOOKUP(A85, Posts!A:I, 8, FALSE)
</f>
        <v>187</v>
      </c>
    </row>
    <row r="86">
      <c r="A86" s="9" t="s">
        <v>57</v>
      </c>
      <c r="B86" s="11">
        <v>23.0</v>
      </c>
      <c r="C86" s="12" t="s">
        <v>25</v>
      </c>
      <c r="D86" s="16">
        <f>VLOOKUP(A86, Posts!A:H, 7, FALSE)</f>
        <v>4453</v>
      </c>
      <c r="E86" s="16">
        <f>VLOOKUP(A86, Posts!A:I, 8, FALSE)
</f>
        <v>111</v>
      </c>
    </row>
    <row r="87">
      <c r="A87" s="9" t="s">
        <v>58</v>
      </c>
      <c r="B87" s="11">
        <v>64.0</v>
      </c>
      <c r="C87" s="12" t="s">
        <v>38</v>
      </c>
      <c r="D87" s="16">
        <f>VLOOKUP(A87, Posts!A:H, 7, FALSE)</f>
        <v>2089</v>
      </c>
      <c r="E87" s="16">
        <f>VLOOKUP(A87, Posts!A:I, 8, FALSE)
</f>
        <v>476</v>
      </c>
    </row>
    <row r="88">
      <c r="A88" s="9" t="s">
        <v>59</v>
      </c>
      <c r="B88" s="11">
        <v>34.0</v>
      </c>
      <c r="C88" s="12" t="s">
        <v>25</v>
      </c>
      <c r="D88" s="16">
        <f>VLOOKUP(A88, Posts!A:H, 7, FALSE)</f>
        <v>947</v>
      </c>
      <c r="E88" s="16">
        <f>VLOOKUP(A88, Posts!A:I, 8, FALSE)
</f>
        <v>338</v>
      </c>
    </row>
    <row r="89">
      <c r="A89" s="9" t="s">
        <v>60</v>
      </c>
      <c r="B89" s="11">
        <v>10.0</v>
      </c>
      <c r="C89" s="12" t="s">
        <v>33</v>
      </c>
      <c r="D89" s="16">
        <f>VLOOKUP(A89, Posts!A:H, 7, FALSE)</f>
        <v>2291</v>
      </c>
      <c r="E89" s="16">
        <f>VLOOKUP(A89, Posts!A:I, 8, FALSE)
</f>
        <v>78</v>
      </c>
    </row>
    <row r="90">
      <c r="A90" s="9" t="s">
        <v>241</v>
      </c>
      <c r="B90" s="11">
        <v>230.0</v>
      </c>
      <c r="C90" s="12" t="s">
        <v>25</v>
      </c>
      <c r="D90" s="16">
        <f>VLOOKUP(A90, Posts!A:H, 7, FALSE)</f>
        <v>3239</v>
      </c>
      <c r="E90" s="16">
        <f>VLOOKUP(A90, Posts!A:I, 8, FALSE)
</f>
        <v>43</v>
      </c>
    </row>
    <row r="91">
      <c r="A91" s="9" t="s">
        <v>316</v>
      </c>
      <c r="B91" s="11">
        <v>169.0</v>
      </c>
      <c r="C91" s="12" t="s">
        <v>25</v>
      </c>
      <c r="D91" s="16">
        <f>VLOOKUP(A91, Posts!A:H, 7, FALSE)</f>
        <v>4934</v>
      </c>
      <c r="E91" s="16">
        <f>VLOOKUP(A91, Posts!A:I, 8, FALSE)
</f>
        <v>971</v>
      </c>
    </row>
    <row r="92">
      <c r="A92" s="9" t="s">
        <v>317</v>
      </c>
      <c r="B92" s="11">
        <v>237.0</v>
      </c>
      <c r="C92" s="12" t="s">
        <v>25</v>
      </c>
      <c r="D92" s="16">
        <f>VLOOKUP(A92, Posts!A:H, 7, FALSE)</f>
        <v>1206</v>
      </c>
      <c r="E92" s="16">
        <f>VLOOKUP(A92, Posts!A:I, 8, FALSE)
</f>
        <v>238</v>
      </c>
    </row>
    <row r="93">
      <c r="A93" s="9" t="s">
        <v>162</v>
      </c>
      <c r="B93" s="11">
        <v>143.0</v>
      </c>
      <c r="C93" s="12" t="s">
        <v>25</v>
      </c>
      <c r="D93" s="16">
        <f>VLOOKUP(A93, Posts!A:H, 7, FALSE)</f>
        <v>3256</v>
      </c>
      <c r="E93" s="16">
        <f>VLOOKUP(A93, Posts!A:I, 8, FALSE)
</f>
        <v>459</v>
      </c>
    </row>
    <row r="94">
      <c r="A94" s="9" t="s">
        <v>163</v>
      </c>
      <c r="B94" s="11">
        <v>128.0</v>
      </c>
      <c r="C94" s="12" t="s">
        <v>33</v>
      </c>
      <c r="D94" s="16">
        <f>VLOOKUP(A94, Posts!A:H, 7, FALSE)</f>
        <v>2404</v>
      </c>
      <c r="E94" s="16">
        <f>VLOOKUP(A94, Posts!A:I, 8, FALSE)
</f>
        <v>363</v>
      </c>
    </row>
    <row r="95">
      <c r="A95" s="9" t="s">
        <v>62</v>
      </c>
      <c r="B95" s="11">
        <v>265.0</v>
      </c>
      <c r="C95" s="12" t="s">
        <v>38</v>
      </c>
      <c r="D95" s="16">
        <f>VLOOKUP(A95, Posts!A:H, 7, FALSE)</f>
        <v>4242</v>
      </c>
      <c r="E95" s="16">
        <f>VLOOKUP(A95, Posts!A:I, 8, FALSE)
</f>
        <v>555</v>
      </c>
    </row>
    <row r="96">
      <c r="A96" s="9" t="s">
        <v>164</v>
      </c>
      <c r="B96" s="11">
        <v>272.0</v>
      </c>
      <c r="C96" s="12" t="s">
        <v>33</v>
      </c>
      <c r="D96" s="16">
        <f>VLOOKUP(A96, Posts!A:H, 7, FALSE)</f>
        <v>1176</v>
      </c>
      <c r="E96" s="16">
        <f>VLOOKUP(A96, Posts!A:I, 8, FALSE)
</f>
        <v>464</v>
      </c>
    </row>
    <row r="97">
      <c r="A97" s="9" t="s">
        <v>242</v>
      </c>
      <c r="B97" s="11">
        <v>229.0</v>
      </c>
      <c r="C97" s="12" t="s">
        <v>38</v>
      </c>
      <c r="D97" s="16">
        <f>VLOOKUP(A97, Posts!A:H, 7, FALSE)</f>
        <v>1330</v>
      </c>
      <c r="E97" s="16">
        <f>VLOOKUP(A97, Posts!A:I, 8, FALSE)
</f>
        <v>925</v>
      </c>
    </row>
    <row r="98">
      <c r="A98" s="9" t="s">
        <v>243</v>
      </c>
      <c r="B98" s="11">
        <v>104.0</v>
      </c>
      <c r="C98" s="12" t="s">
        <v>38</v>
      </c>
      <c r="D98" s="16">
        <f>VLOOKUP(A98, Posts!A:H, 7, FALSE)</f>
        <v>1076</v>
      </c>
      <c r="E98" s="16">
        <f>VLOOKUP(A98, Posts!A:I, 8, FALSE)
</f>
        <v>313</v>
      </c>
    </row>
    <row r="99">
      <c r="A99" s="9" t="s">
        <v>244</v>
      </c>
      <c r="B99" s="11">
        <v>129.0</v>
      </c>
      <c r="C99" s="12" t="s">
        <v>25</v>
      </c>
      <c r="D99" s="16">
        <f>VLOOKUP(A99, Posts!A:H, 7, FALSE)</f>
        <v>4274</v>
      </c>
      <c r="E99" s="16">
        <f>VLOOKUP(A99, Posts!A:I, 8, FALSE)
</f>
        <v>340</v>
      </c>
    </row>
    <row r="100">
      <c r="A100" s="9" t="s">
        <v>245</v>
      </c>
      <c r="B100" s="11">
        <v>65.0</v>
      </c>
      <c r="C100" s="12" t="s">
        <v>25</v>
      </c>
      <c r="D100" s="16">
        <f>VLOOKUP(A100, Posts!A:H, 7, FALSE)</f>
        <v>4886</v>
      </c>
      <c r="E100" s="16">
        <f>VLOOKUP(A100, Posts!A:I, 8, FALSE)
</f>
        <v>983</v>
      </c>
    </row>
    <row r="101">
      <c r="A101" s="9" t="s">
        <v>246</v>
      </c>
      <c r="B101" s="11">
        <v>233.0</v>
      </c>
      <c r="C101" s="12" t="s">
        <v>25</v>
      </c>
      <c r="D101" s="16">
        <f>VLOOKUP(A101, Posts!A:H, 7, FALSE)</f>
        <v>3811</v>
      </c>
      <c r="E101" s="16">
        <f>VLOOKUP(A101, Posts!A:I, 8, FALSE)
</f>
        <v>866</v>
      </c>
    </row>
    <row r="102">
      <c r="A102" s="9" t="s">
        <v>165</v>
      </c>
      <c r="B102" s="11">
        <v>217.0</v>
      </c>
      <c r="C102" s="12" t="s">
        <v>25</v>
      </c>
      <c r="D102" s="16">
        <f>VLOOKUP(A102, Posts!A:H, 7, FALSE)</f>
        <v>4941</v>
      </c>
      <c r="E102" s="16">
        <f>VLOOKUP(A102, Posts!A:I, 8, FALSE)
</f>
        <v>414</v>
      </c>
    </row>
    <row r="103">
      <c r="A103" s="9" t="s">
        <v>247</v>
      </c>
      <c r="B103" s="11">
        <v>299.0</v>
      </c>
      <c r="C103" s="12" t="s">
        <v>33</v>
      </c>
      <c r="D103" s="16">
        <f>VLOOKUP(A103, Posts!A:H, 7, FALSE)</f>
        <v>4750</v>
      </c>
      <c r="E103" s="16">
        <f>VLOOKUP(A103, Posts!A:I, 8, FALSE)
</f>
        <v>151</v>
      </c>
    </row>
    <row r="104">
      <c r="A104" s="9" t="s">
        <v>63</v>
      </c>
      <c r="B104" s="11">
        <v>70.0</v>
      </c>
      <c r="C104" s="12" t="s">
        <v>38</v>
      </c>
      <c r="D104" s="16">
        <f>VLOOKUP(A104, Posts!A:H, 7, FALSE)</f>
        <v>2581</v>
      </c>
      <c r="E104" s="16">
        <f>VLOOKUP(A104, Posts!A:I, 8, FALSE)
</f>
        <v>517</v>
      </c>
    </row>
    <row r="105">
      <c r="A105" s="9" t="s">
        <v>64</v>
      </c>
      <c r="B105" s="11">
        <v>235.0</v>
      </c>
      <c r="C105" s="12" t="s">
        <v>33</v>
      </c>
      <c r="D105" s="16">
        <f>VLOOKUP(A105, Posts!A:H, 7, FALSE)</f>
        <v>3828</v>
      </c>
      <c r="E105" s="16">
        <f>VLOOKUP(A105, Posts!A:I, 8, FALSE)
</f>
        <v>148</v>
      </c>
    </row>
    <row r="106">
      <c r="A106" s="9" t="s">
        <v>318</v>
      </c>
      <c r="B106" s="11">
        <v>199.0</v>
      </c>
      <c r="C106" s="12" t="s">
        <v>25</v>
      </c>
      <c r="D106" s="16">
        <f>VLOOKUP(A106, Posts!A:H, 7, FALSE)</f>
        <v>3655</v>
      </c>
      <c r="E106" s="16">
        <f>VLOOKUP(A106, Posts!A:I, 8, FALSE)
</f>
        <v>568</v>
      </c>
    </row>
    <row r="107">
      <c r="A107" s="9" t="s">
        <v>166</v>
      </c>
      <c r="B107" s="11">
        <v>282.0</v>
      </c>
      <c r="C107" s="12" t="s">
        <v>38</v>
      </c>
      <c r="D107" s="16">
        <f>VLOOKUP(A107, Posts!A:H, 7, FALSE)</f>
        <v>914</v>
      </c>
      <c r="E107" s="16">
        <f>VLOOKUP(A107, Posts!A:I, 8, FALSE)
</f>
        <v>464</v>
      </c>
    </row>
    <row r="108">
      <c r="A108" s="9" t="s">
        <v>248</v>
      </c>
      <c r="B108" s="11">
        <v>251.0</v>
      </c>
      <c r="C108" s="12" t="s">
        <v>33</v>
      </c>
      <c r="D108" s="16">
        <f>VLOOKUP(A108, Posts!A:H, 7, FALSE)</f>
        <v>3215</v>
      </c>
      <c r="E108" s="16">
        <f>VLOOKUP(A108, Posts!A:I, 8, FALSE)
</f>
        <v>960</v>
      </c>
    </row>
    <row r="109">
      <c r="A109" s="9" t="s">
        <v>249</v>
      </c>
      <c r="B109" s="11">
        <v>236.0</v>
      </c>
      <c r="C109" s="12" t="s">
        <v>38</v>
      </c>
      <c r="D109" s="16">
        <f>VLOOKUP(A109, Posts!A:H, 7, FALSE)</f>
        <v>3801</v>
      </c>
      <c r="E109" s="16">
        <f>VLOOKUP(A109, Posts!A:I, 8, FALSE)
</f>
        <v>967</v>
      </c>
    </row>
    <row r="110">
      <c r="A110" s="9" t="s">
        <v>65</v>
      </c>
      <c r="B110" s="11">
        <v>25.0</v>
      </c>
      <c r="C110" s="12" t="s">
        <v>25</v>
      </c>
      <c r="D110" s="16">
        <f>VLOOKUP(A110, Posts!A:H, 7, FALSE)</f>
        <v>302</v>
      </c>
      <c r="E110" s="16">
        <f>VLOOKUP(A110, Posts!A:I, 8, FALSE)
</f>
        <v>47</v>
      </c>
    </row>
    <row r="111">
      <c r="A111" s="9" t="s">
        <v>320</v>
      </c>
      <c r="B111" s="11">
        <v>174.0</v>
      </c>
      <c r="C111" s="12" t="s">
        <v>33</v>
      </c>
      <c r="D111" s="16">
        <f>VLOOKUP(A111, Posts!A:H, 7, FALSE)</f>
        <v>4021</v>
      </c>
      <c r="E111" s="16">
        <f>VLOOKUP(A111, Posts!A:I, 8, FALSE)
</f>
        <v>794</v>
      </c>
    </row>
    <row r="112">
      <c r="A112" s="9" t="s">
        <v>321</v>
      </c>
      <c r="B112" s="11">
        <v>112.0</v>
      </c>
      <c r="C112" s="12" t="s">
        <v>25</v>
      </c>
      <c r="D112" s="16">
        <f>VLOOKUP(A112, Posts!A:H, 7, FALSE)</f>
        <v>2754</v>
      </c>
      <c r="E112" s="16">
        <f>VLOOKUP(A112, Posts!A:I, 8, FALSE)
</f>
        <v>130</v>
      </c>
    </row>
    <row r="113">
      <c r="A113" s="9" t="s">
        <v>167</v>
      </c>
      <c r="B113" s="11">
        <v>186.0</v>
      </c>
      <c r="C113" s="12" t="s">
        <v>38</v>
      </c>
      <c r="D113" s="16">
        <f>VLOOKUP(A113, Posts!A:H, 7, FALSE)</f>
        <v>1947</v>
      </c>
      <c r="E113" s="16">
        <f>VLOOKUP(A113, Posts!A:I, 8, FALSE)
</f>
        <v>842</v>
      </c>
    </row>
    <row r="114">
      <c r="A114" s="9" t="s">
        <v>168</v>
      </c>
      <c r="B114" s="11">
        <v>118.0</v>
      </c>
      <c r="C114" s="12" t="s">
        <v>25</v>
      </c>
      <c r="D114" s="16">
        <f>VLOOKUP(A114, Posts!A:H, 7, FALSE)</f>
        <v>4799</v>
      </c>
      <c r="E114" s="16">
        <f>VLOOKUP(A114, Posts!A:I, 8, FALSE)
</f>
        <v>694</v>
      </c>
    </row>
    <row r="115">
      <c r="A115" s="9" t="s">
        <v>322</v>
      </c>
      <c r="B115" s="11">
        <v>123.0</v>
      </c>
      <c r="C115" s="12" t="s">
        <v>25</v>
      </c>
      <c r="D115" s="16">
        <f>VLOOKUP(A115, Posts!A:H, 7, FALSE)</f>
        <v>1855</v>
      </c>
      <c r="E115" s="16">
        <f>VLOOKUP(A115, Posts!A:I, 8, FALSE)
</f>
        <v>200</v>
      </c>
    </row>
    <row r="116">
      <c r="A116" s="9" t="s">
        <v>250</v>
      </c>
      <c r="B116" s="11">
        <v>224.0</v>
      </c>
      <c r="C116" s="12" t="s">
        <v>38</v>
      </c>
      <c r="D116" s="16">
        <f>VLOOKUP(A116, Posts!A:H, 7, FALSE)</f>
        <v>2692</v>
      </c>
      <c r="E116" s="16">
        <f>VLOOKUP(A116, Posts!A:I, 8, FALSE)
</f>
        <v>115</v>
      </c>
    </row>
    <row r="117">
      <c r="A117" s="9" t="s">
        <v>169</v>
      </c>
      <c r="B117" s="11">
        <v>57.0</v>
      </c>
      <c r="C117" s="12" t="s">
        <v>38</v>
      </c>
      <c r="D117" s="16">
        <f>VLOOKUP(A117, Posts!A:H, 7, FALSE)</f>
        <v>4840</v>
      </c>
      <c r="E117" s="16">
        <f>VLOOKUP(A117, Posts!A:I, 8, FALSE)
</f>
        <v>658</v>
      </c>
    </row>
    <row r="118">
      <c r="A118" s="9" t="s">
        <v>66</v>
      </c>
      <c r="B118" s="11">
        <v>194.0</v>
      </c>
      <c r="C118" s="12" t="s">
        <v>38</v>
      </c>
      <c r="D118" s="16">
        <f>VLOOKUP(A118, Posts!A:H, 7, FALSE)</f>
        <v>1257</v>
      </c>
      <c r="E118" s="16">
        <f>VLOOKUP(A118, Posts!A:I, 8, FALSE)
</f>
        <v>19</v>
      </c>
    </row>
    <row r="119">
      <c r="A119" s="9" t="s">
        <v>251</v>
      </c>
      <c r="B119" s="11">
        <v>44.0</v>
      </c>
      <c r="C119" s="12" t="s">
        <v>38</v>
      </c>
      <c r="D119" s="16">
        <f>VLOOKUP(A119, Posts!A:H, 7, FALSE)</f>
        <v>4000</v>
      </c>
      <c r="E119" s="16">
        <f>VLOOKUP(A119, Posts!A:I, 8, FALSE)
</f>
        <v>689</v>
      </c>
    </row>
    <row r="120">
      <c r="A120" s="9" t="s">
        <v>68</v>
      </c>
      <c r="B120" s="11">
        <v>60.0</v>
      </c>
      <c r="C120" s="12" t="s">
        <v>38</v>
      </c>
      <c r="D120" s="16">
        <f>VLOOKUP(A120, Posts!A:H, 7, FALSE)</f>
        <v>2946</v>
      </c>
      <c r="E120" s="16">
        <f>VLOOKUP(A120, Posts!A:I, 8, FALSE)
</f>
        <v>498</v>
      </c>
    </row>
    <row r="121">
      <c r="A121" s="9" t="s">
        <v>170</v>
      </c>
      <c r="B121" s="11">
        <v>32.0</v>
      </c>
      <c r="C121" s="12" t="s">
        <v>38</v>
      </c>
      <c r="D121" s="16">
        <f>VLOOKUP(A121, Posts!A:H, 7, FALSE)</f>
        <v>498</v>
      </c>
      <c r="E121" s="16">
        <f>VLOOKUP(A121, Posts!A:I, 8, FALSE)
</f>
        <v>38</v>
      </c>
    </row>
    <row r="122">
      <c r="A122" s="9" t="s">
        <v>69</v>
      </c>
      <c r="B122" s="11">
        <v>213.0</v>
      </c>
      <c r="C122" s="12" t="s">
        <v>38</v>
      </c>
      <c r="D122" s="16">
        <f>VLOOKUP(A122, Posts!A:H, 7, FALSE)</f>
        <v>1946</v>
      </c>
      <c r="E122" s="16">
        <f>VLOOKUP(A122, Posts!A:I, 8, FALSE)
</f>
        <v>686</v>
      </c>
    </row>
    <row r="123">
      <c r="A123" s="9" t="s">
        <v>70</v>
      </c>
      <c r="B123" s="11">
        <v>241.0</v>
      </c>
      <c r="C123" s="12" t="s">
        <v>25</v>
      </c>
      <c r="D123" s="16">
        <f>VLOOKUP(A123, Posts!A:H, 7, FALSE)</f>
        <v>3196</v>
      </c>
      <c r="E123" s="16">
        <f>VLOOKUP(A123, Posts!A:I, 8, FALSE)
</f>
        <v>941</v>
      </c>
    </row>
    <row r="124">
      <c r="A124" s="9" t="s">
        <v>71</v>
      </c>
      <c r="B124" s="11">
        <v>113.0</v>
      </c>
      <c r="C124" s="12" t="s">
        <v>25</v>
      </c>
      <c r="D124" s="16">
        <f>VLOOKUP(A124, Posts!A:H, 7, FALSE)</f>
        <v>1407</v>
      </c>
      <c r="E124" s="16">
        <f>VLOOKUP(A124, Posts!A:I, 8, FALSE)
</f>
        <v>400</v>
      </c>
    </row>
    <row r="125">
      <c r="A125" s="9" t="s">
        <v>323</v>
      </c>
      <c r="B125" s="11">
        <v>87.0</v>
      </c>
      <c r="C125" s="12" t="s">
        <v>25</v>
      </c>
      <c r="D125" s="16">
        <f>VLOOKUP(A125, Posts!A:H, 7, FALSE)</f>
        <v>3138</v>
      </c>
      <c r="E125" s="16">
        <f>VLOOKUP(A125, Posts!A:I, 8, FALSE)
</f>
        <v>123</v>
      </c>
    </row>
    <row r="126">
      <c r="A126" s="9" t="s">
        <v>171</v>
      </c>
      <c r="B126" s="11">
        <v>85.0</v>
      </c>
      <c r="C126" s="12" t="s">
        <v>33</v>
      </c>
      <c r="D126" s="16">
        <f>VLOOKUP(A126, Posts!A:H, 7, FALSE)</f>
        <v>1813</v>
      </c>
      <c r="E126" s="16">
        <f>VLOOKUP(A126, Posts!A:I, 8, FALSE)
</f>
        <v>623</v>
      </c>
    </row>
    <row r="127">
      <c r="A127" s="9" t="s">
        <v>252</v>
      </c>
      <c r="B127" s="11">
        <v>102.0</v>
      </c>
      <c r="C127" s="12" t="s">
        <v>38</v>
      </c>
      <c r="D127" s="16">
        <f>VLOOKUP(A127, Posts!A:H, 7, FALSE)</f>
        <v>3092</v>
      </c>
      <c r="E127" s="16">
        <f>VLOOKUP(A127, Posts!A:I, 8, FALSE)
</f>
        <v>106</v>
      </c>
    </row>
    <row r="128">
      <c r="A128" s="9" t="s">
        <v>324</v>
      </c>
      <c r="B128" s="11">
        <v>83.0</v>
      </c>
      <c r="C128" s="12" t="s">
        <v>33</v>
      </c>
      <c r="D128" s="16">
        <f>VLOOKUP(A128, Posts!A:H, 7, FALSE)</f>
        <v>3809</v>
      </c>
      <c r="E128" s="16">
        <f>VLOOKUP(A128, Posts!A:I, 8, FALSE)
</f>
        <v>273</v>
      </c>
    </row>
    <row r="129">
      <c r="A129" s="9" t="s">
        <v>72</v>
      </c>
      <c r="B129" s="11">
        <v>277.0</v>
      </c>
      <c r="C129" s="12" t="s">
        <v>33</v>
      </c>
      <c r="D129" s="16">
        <f>VLOOKUP(A129, Posts!A:H, 7, FALSE)</f>
        <v>2634</v>
      </c>
      <c r="E129" s="16">
        <f>VLOOKUP(A129, Posts!A:I, 8, FALSE)
</f>
        <v>726</v>
      </c>
    </row>
    <row r="130">
      <c r="A130" s="9" t="s">
        <v>73</v>
      </c>
      <c r="B130" s="11">
        <v>238.0</v>
      </c>
      <c r="C130" s="12" t="s">
        <v>25</v>
      </c>
      <c r="D130" s="16">
        <f>VLOOKUP(A130, Posts!A:H, 7, FALSE)</f>
        <v>880</v>
      </c>
      <c r="E130" s="16">
        <f>VLOOKUP(A130, Posts!A:I, 8, FALSE)
</f>
        <v>297</v>
      </c>
    </row>
    <row r="131">
      <c r="A131" s="9" t="s">
        <v>325</v>
      </c>
      <c r="B131" s="11">
        <v>219.0</v>
      </c>
      <c r="C131" s="12" t="s">
        <v>25</v>
      </c>
      <c r="D131" s="16">
        <f>VLOOKUP(A131, Posts!A:H, 7, FALSE)</f>
        <v>3874</v>
      </c>
      <c r="E131" s="16">
        <f>VLOOKUP(A131, Posts!A:I, 8, FALSE)
</f>
        <v>884</v>
      </c>
    </row>
    <row r="132">
      <c r="A132" s="9" t="s">
        <v>172</v>
      </c>
      <c r="B132" s="11">
        <v>270.0</v>
      </c>
      <c r="C132" s="12" t="s">
        <v>33</v>
      </c>
      <c r="D132" s="16">
        <f>VLOOKUP(A132, Posts!A:H, 7, FALSE)</f>
        <v>3523</v>
      </c>
      <c r="E132" s="16">
        <f>VLOOKUP(A132, Posts!A:I, 8, FALSE)
</f>
        <v>753</v>
      </c>
    </row>
    <row r="133">
      <c r="A133" s="9" t="s">
        <v>74</v>
      </c>
      <c r="B133" s="11">
        <v>177.0</v>
      </c>
      <c r="C133" s="12" t="s">
        <v>33</v>
      </c>
      <c r="D133" s="16">
        <f>VLOOKUP(A133, Posts!A:H, 7, FALSE)</f>
        <v>4134</v>
      </c>
      <c r="E133" s="16">
        <f>VLOOKUP(A133, Posts!A:I, 8, FALSE)
</f>
        <v>824</v>
      </c>
    </row>
    <row r="134">
      <c r="A134" s="9" t="s">
        <v>173</v>
      </c>
      <c r="B134" s="11">
        <v>255.0</v>
      </c>
      <c r="C134" s="12" t="s">
        <v>25</v>
      </c>
      <c r="D134" s="16">
        <f>VLOOKUP(A134, Posts!A:H, 7, FALSE)</f>
        <v>1674</v>
      </c>
      <c r="E134" s="16">
        <f>VLOOKUP(A134, Posts!A:I, 8, FALSE)
</f>
        <v>929</v>
      </c>
    </row>
    <row r="135">
      <c r="A135" s="9" t="s">
        <v>75</v>
      </c>
      <c r="B135" s="11">
        <v>226.0</v>
      </c>
      <c r="C135" s="12" t="s">
        <v>38</v>
      </c>
      <c r="D135" s="16">
        <f>VLOOKUP(A135, Posts!A:H, 7, FALSE)</f>
        <v>3767</v>
      </c>
      <c r="E135" s="16">
        <f>VLOOKUP(A135, Posts!A:I, 8, FALSE)
</f>
        <v>514</v>
      </c>
    </row>
    <row r="136">
      <c r="A136" s="9" t="s">
        <v>326</v>
      </c>
      <c r="B136" s="11">
        <v>227.0</v>
      </c>
      <c r="C136" s="12" t="s">
        <v>25</v>
      </c>
      <c r="D136" s="16">
        <f>VLOOKUP(A136, Posts!A:H, 7, FALSE)</f>
        <v>2551</v>
      </c>
      <c r="E136" s="16">
        <f>VLOOKUP(A136, Posts!A:I, 8, FALSE)
</f>
        <v>915</v>
      </c>
    </row>
    <row r="137">
      <c r="A137" s="9" t="s">
        <v>174</v>
      </c>
      <c r="B137" s="11">
        <v>289.0</v>
      </c>
      <c r="C137" s="12" t="s">
        <v>33</v>
      </c>
      <c r="D137" s="16">
        <f>VLOOKUP(A137, Posts!A:H, 7, FALSE)</f>
        <v>1881</v>
      </c>
      <c r="E137" s="16">
        <f>VLOOKUP(A137, Posts!A:I, 8, FALSE)
</f>
        <v>501</v>
      </c>
    </row>
    <row r="138">
      <c r="A138" s="9" t="s">
        <v>76</v>
      </c>
      <c r="B138" s="11">
        <v>208.0</v>
      </c>
      <c r="C138" s="12" t="s">
        <v>38</v>
      </c>
      <c r="D138" s="16">
        <f>VLOOKUP(A138, Posts!A:H, 7, FALSE)</f>
        <v>3960</v>
      </c>
      <c r="E138" s="16">
        <f>VLOOKUP(A138, Posts!A:I, 8, FALSE)
</f>
        <v>266</v>
      </c>
    </row>
    <row r="139">
      <c r="A139" s="9" t="s">
        <v>175</v>
      </c>
      <c r="B139" s="11">
        <v>271.0</v>
      </c>
      <c r="C139" s="12" t="s">
        <v>38</v>
      </c>
      <c r="D139" s="16">
        <f>VLOOKUP(A139, Posts!A:H, 7, FALSE)</f>
        <v>3775</v>
      </c>
      <c r="E139" s="16">
        <f>VLOOKUP(A139, Posts!A:I, 8, FALSE)
</f>
        <v>16</v>
      </c>
    </row>
    <row r="140">
      <c r="A140" s="9" t="s">
        <v>253</v>
      </c>
      <c r="B140" s="11">
        <v>219.0</v>
      </c>
      <c r="C140" s="12" t="s">
        <v>33</v>
      </c>
      <c r="D140" s="16">
        <f>VLOOKUP(A140, Posts!A:H, 7, FALSE)</f>
        <v>1606</v>
      </c>
      <c r="E140" s="16">
        <f>VLOOKUP(A140, Posts!A:I, 8, FALSE)
</f>
        <v>451</v>
      </c>
    </row>
    <row r="141">
      <c r="A141" s="9" t="s">
        <v>176</v>
      </c>
      <c r="B141" s="11">
        <v>189.0</v>
      </c>
      <c r="C141" s="12" t="s">
        <v>38</v>
      </c>
      <c r="D141" s="16">
        <f>VLOOKUP(A141, Posts!A:H, 7, FALSE)</f>
        <v>1377</v>
      </c>
      <c r="E141" s="16">
        <f>VLOOKUP(A141, Posts!A:I, 8, FALSE)
</f>
        <v>796</v>
      </c>
    </row>
    <row r="142">
      <c r="A142" s="9" t="s">
        <v>177</v>
      </c>
      <c r="B142" s="11">
        <v>65.0</v>
      </c>
      <c r="C142" s="12" t="s">
        <v>38</v>
      </c>
      <c r="D142" s="16">
        <f>VLOOKUP(A142, Posts!A:H, 7, FALSE)</f>
        <v>1792</v>
      </c>
      <c r="E142" s="16">
        <f>VLOOKUP(A142, Posts!A:I, 8, FALSE)
</f>
        <v>614</v>
      </c>
    </row>
    <row r="143">
      <c r="A143" s="9" t="s">
        <v>254</v>
      </c>
      <c r="B143" s="11">
        <v>245.0</v>
      </c>
      <c r="C143" s="12" t="s">
        <v>25</v>
      </c>
      <c r="D143" s="16">
        <f>VLOOKUP(A143, Posts!A:H, 7, FALSE)</f>
        <v>4671</v>
      </c>
      <c r="E143" s="16">
        <f>VLOOKUP(A143, Posts!A:I, 8, FALSE)
</f>
        <v>876</v>
      </c>
    </row>
    <row r="144">
      <c r="A144" s="9" t="s">
        <v>327</v>
      </c>
      <c r="B144" s="11">
        <v>143.0</v>
      </c>
      <c r="C144" s="12" t="s">
        <v>38</v>
      </c>
      <c r="D144" s="16">
        <f>VLOOKUP(A144, Posts!A:H, 7, FALSE)</f>
        <v>2283</v>
      </c>
      <c r="E144" s="16">
        <f>VLOOKUP(A144, Posts!A:I, 8, FALSE)
</f>
        <v>210</v>
      </c>
    </row>
    <row r="145">
      <c r="A145" s="9" t="s">
        <v>255</v>
      </c>
      <c r="B145" s="11">
        <v>231.0</v>
      </c>
      <c r="C145" s="12" t="s">
        <v>25</v>
      </c>
      <c r="D145" s="16">
        <f>VLOOKUP(A145, Posts!A:H, 7, FALSE)</f>
        <v>571</v>
      </c>
      <c r="E145" s="16">
        <f>VLOOKUP(A145, Posts!A:I, 8, FALSE)
</f>
        <v>190</v>
      </c>
    </row>
    <row r="146">
      <c r="A146" s="9" t="s">
        <v>256</v>
      </c>
      <c r="B146" s="11">
        <v>10.0</v>
      </c>
      <c r="C146" s="12" t="s">
        <v>33</v>
      </c>
      <c r="D146" s="16">
        <f>VLOOKUP(A146, Posts!A:H, 7, FALSE)</f>
        <v>4419</v>
      </c>
      <c r="E146" s="16">
        <f>VLOOKUP(A146, Posts!A:I, 8, FALSE)
</f>
        <v>236</v>
      </c>
    </row>
    <row r="147">
      <c r="A147" s="9" t="s">
        <v>178</v>
      </c>
      <c r="B147" s="11">
        <v>25.0</v>
      </c>
      <c r="C147" s="12" t="s">
        <v>25</v>
      </c>
      <c r="D147" s="16">
        <f>VLOOKUP(A147, Posts!A:H, 7, FALSE)</f>
        <v>1762</v>
      </c>
      <c r="E147" s="16">
        <f>VLOOKUP(A147, Posts!A:I, 8, FALSE)
</f>
        <v>405</v>
      </c>
    </row>
    <row r="148">
      <c r="A148" s="9" t="s">
        <v>257</v>
      </c>
      <c r="B148" s="11">
        <v>17.0</v>
      </c>
      <c r="C148" s="12" t="s">
        <v>38</v>
      </c>
      <c r="D148" s="16">
        <f>VLOOKUP(A148, Posts!A:H, 7, FALSE)</f>
        <v>1575</v>
      </c>
      <c r="E148" s="16">
        <f>VLOOKUP(A148, Posts!A:I, 8, FALSE)
</f>
        <v>771</v>
      </c>
    </row>
    <row r="149">
      <c r="A149" s="9" t="s">
        <v>179</v>
      </c>
      <c r="B149" s="11">
        <v>217.0</v>
      </c>
      <c r="C149" s="12" t="s">
        <v>38</v>
      </c>
      <c r="D149" s="16">
        <f>VLOOKUP(A149, Posts!A:H, 7, FALSE)</f>
        <v>246</v>
      </c>
      <c r="E149" s="16">
        <f>VLOOKUP(A149, Posts!A:I, 8, FALSE)
</f>
        <v>149</v>
      </c>
    </row>
    <row r="150">
      <c r="A150" s="9" t="s">
        <v>78</v>
      </c>
      <c r="B150" s="11">
        <v>39.0</v>
      </c>
      <c r="C150" s="12" t="s">
        <v>38</v>
      </c>
      <c r="D150" s="16">
        <f>VLOOKUP(A150, Posts!A:H, 7, FALSE)</f>
        <v>1814</v>
      </c>
      <c r="E150" s="16">
        <f>VLOOKUP(A150, Posts!A:I, 8, FALSE)
</f>
        <v>653</v>
      </c>
    </row>
    <row r="151">
      <c r="A151" s="9" t="s">
        <v>258</v>
      </c>
      <c r="B151" s="11">
        <v>282.0</v>
      </c>
      <c r="C151" s="12" t="s">
        <v>33</v>
      </c>
      <c r="D151" s="16">
        <f>VLOOKUP(A151, Posts!A:H, 7, FALSE)</f>
        <v>4516</v>
      </c>
      <c r="E151" s="16">
        <f>VLOOKUP(A151, Posts!A:I, 8, FALSE)
</f>
        <v>836</v>
      </c>
    </row>
    <row r="152">
      <c r="A152" s="9" t="s">
        <v>180</v>
      </c>
      <c r="B152" s="11">
        <v>122.0</v>
      </c>
      <c r="C152" s="12" t="s">
        <v>33</v>
      </c>
      <c r="D152" s="16">
        <f>VLOOKUP(A152, Posts!A:H, 7, FALSE)</f>
        <v>3559</v>
      </c>
      <c r="E152" s="16">
        <f>VLOOKUP(A152, Posts!A:I, 8, FALSE)
</f>
        <v>59</v>
      </c>
    </row>
    <row r="153">
      <c r="A153" s="9" t="s">
        <v>79</v>
      </c>
      <c r="B153" s="11">
        <v>240.0</v>
      </c>
      <c r="C153" s="12" t="s">
        <v>38</v>
      </c>
      <c r="D153" s="16">
        <f>VLOOKUP(A153, Posts!A:H, 7, FALSE)</f>
        <v>3352</v>
      </c>
      <c r="E153" s="16">
        <f>VLOOKUP(A153, Posts!A:I, 8, FALSE)
</f>
        <v>941</v>
      </c>
    </row>
    <row r="154">
      <c r="A154" s="9" t="s">
        <v>328</v>
      </c>
      <c r="B154" s="11">
        <v>187.0</v>
      </c>
      <c r="C154" s="12" t="s">
        <v>38</v>
      </c>
      <c r="D154" s="16">
        <f>VLOOKUP(A154, Posts!A:H, 7, FALSE)</f>
        <v>4775</v>
      </c>
      <c r="E154" s="16">
        <f>VLOOKUP(A154, Posts!A:I, 8, FALSE)
</f>
        <v>173</v>
      </c>
    </row>
    <row r="155">
      <c r="A155" s="9" t="s">
        <v>259</v>
      </c>
      <c r="B155" s="11">
        <v>87.0</v>
      </c>
      <c r="C155" s="12" t="s">
        <v>33</v>
      </c>
      <c r="D155" s="16">
        <f>VLOOKUP(A155, Posts!A:H, 7, FALSE)</f>
        <v>941</v>
      </c>
      <c r="E155" s="16">
        <f>VLOOKUP(A155, Posts!A:I, 8, FALSE)
</f>
        <v>121</v>
      </c>
    </row>
    <row r="156">
      <c r="A156" s="9" t="s">
        <v>181</v>
      </c>
      <c r="B156" s="11">
        <v>30.0</v>
      </c>
      <c r="C156" s="12" t="s">
        <v>38</v>
      </c>
      <c r="D156" s="16">
        <f>VLOOKUP(A156, Posts!A:H, 7, FALSE)</f>
        <v>1488</v>
      </c>
      <c r="E156" s="16">
        <f>VLOOKUP(A156, Posts!A:I, 8, FALSE)
</f>
        <v>417</v>
      </c>
    </row>
    <row r="157">
      <c r="A157" s="9" t="s">
        <v>260</v>
      </c>
      <c r="B157" s="11">
        <v>177.0</v>
      </c>
      <c r="C157" s="12" t="s">
        <v>25</v>
      </c>
      <c r="D157" s="16">
        <f>VLOOKUP(A157, Posts!A:H, 7, FALSE)</f>
        <v>2164</v>
      </c>
      <c r="E157" s="16">
        <f>VLOOKUP(A157, Posts!A:I, 8, FALSE)
</f>
        <v>549</v>
      </c>
    </row>
    <row r="158">
      <c r="A158" s="9" t="s">
        <v>261</v>
      </c>
      <c r="B158" s="11">
        <v>171.0</v>
      </c>
      <c r="C158" s="12" t="s">
        <v>25</v>
      </c>
      <c r="D158" s="16">
        <f>VLOOKUP(A158, Posts!A:H, 7, FALSE)</f>
        <v>3820</v>
      </c>
      <c r="E158" s="16">
        <f>VLOOKUP(A158, Posts!A:I, 8, FALSE)
</f>
        <v>697</v>
      </c>
    </row>
    <row r="159">
      <c r="A159" s="9" t="s">
        <v>329</v>
      </c>
      <c r="B159" s="11">
        <v>39.0</v>
      </c>
      <c r="C159" s="12" t="s">
        <v>33</v>
      </c>
      <c r="D159" s="16">
        <f>VLOOKUP(A159, Posts!A:H, 7, FALSE)</f>
        <v>3929</v>
      </c>
      <c r="E159" s="16">
        <f>VLOOKUP(A159, Posts!A:I, 8, FALSE)
</f>
        <v>262</v>
      </c>
    </row>
    <row r="160">
      <c r="A160" s="9" t="s">
        <v>262</v>
      </c>
      <c r="B160" s="11">
        <v>123.0</v>
      </c>
      <c r="C160" s="12" t="s">
        <v>38</v>
      </c>
      <c r="D160" s="16">
        <f>VLOOKUP(A160, Posts!A:H, 7, FALSE)</f>
        <v>1238</v>
      </c>
      <c r="E160" s="16">
        <f>VLOOKUP(A160, Posts!A:I, 8, FALSE)
</f>
        <v>366</v>
      </c>
    </row>
    <row r="161">
      <c r="A161" s="9" t="s">
        <v>182</v>
      </c>
      <c r="B161" s="11">
        <v>19.0</v>
      </c>
      <c r="C161" s="12" t="s">
        <v>38</v>
      </c>
      <c r="D161" s="16">
        <f>VLOOKUP(A161, Posts!A:H, 7, FALSE)</f>
        <v>3000</v>
      </c>
      <c r="E161" s="16">
        <f>VLOOKUP(A161, Posts!A:I, 8, FALSE)
</f>
        <v>382</v>
      </c>
    </row>
    <row r="162">
      <c r="A162" s="9" t="s">
        <v>80</v>
      </c>
      <c r="B162" s="11">
        <v>173.0</v>
      </c>
      <c r="C162" s="12" t="s">
        <v>25</v>
      </c>
      <c r="D162" s="16">
        <f>VLOOKUP(A162, Posts!A:H, 7, FALSE)</f>
        <v>4689</v>
      </c>
      <c r="E162" s="16">
        <f>VLOOKUP(A162, Posts!A:I, 8, FALSE)
</f>
        <v>134</v>
      </c>
    </row>
    <row r="163">
      <c r="A163" s="9" t="s">
        <v>81</v>
      </c>
      <c r="B163" s="11">
        <v>10.0</v>
      </c>
      <c r="C163" s="12" t="s">
        <v>25</v>
      </c>
      <c r="D163" s="16">
        <f>VLOOKUP(A163, Posts!A:H, 7, FALSE)</f>
        <v>4182</v>
      </c>
      <c r="E163" s="16">
        <f>VLOOKUP(A163, Posts!A:I, 8, FALSE)
</f>
        <v>640</v>
      </c>
    </row>
    <row r="164">
      <c r="A164" s="9" t="s">
        <v>183</v>
      </c>
      <c r="B164" s="11">
        <v>103.0</v>
      </c>
      <c r="C164" s="12" t="s">
        <v>25</v>
      </c>
      <c r="D164" s="16">
        <f>VLOOKUP(A164, Posts!A:H, 7, FALSE)</f>
        <v>1071</v>
      </c>
      <c r="E164" s="16">
        <f>VLOOKUP(A164, Posts!A:I, 8, FALSE)
</f>
        <v>519</v>
      </c>
    </row>
    <row r="165">
      <c r="A165" s="9" t="s">
        <v>263</v>
      </c>
      <c r="B165" s="11">
        <v>209.0</v>
      </c>
      <c r="C165" s="12" t="s">
        <v>25</v>
      </c>
      <c r="D165" s="16">
        <f>VLOOKUP(A165, Posts!A:H, 7, FALSE)</f>
        <v>4050</v>
      </c>
      <c r="E165" s="16">
        <f>VLOOKUP(A165, Posts!A:I, 8, FALSE)
</f>
        <v>871</v>
      </c>
    </row>
    <row r="166">
      <c r="A166" s="9" t="s">
        <v>184</v>
      </c>
      <c r="B166" s="11">
        <v>142.0</v>
      </c>
      <c r="C166" s="12" t="s">
        <v>38</v>
      </c>
      <c r="D166" s="16">
        <f>VLOOKUP(A166, Posts!A:H, 7, FALSE)</f>
        <v>4158</v>
      </c>
      <c r="E166" s="16">
        <f>VLOOKUP(A166, Posts!A:I, 8, FALSE)
</f>
        <v>167</v>
      </c>
    </row>
    <row r="167">
      <c r="A167" s="9" t="s">
        <v>82</v>
      </c>
      <c r="B167" s="11">
        <v>212.0</v>
      </c>
      <c r="C167" s="12" t="s">
        <v>33</v>
      </c>
      <c r="D167" s="16">
        <f>VLOOKUP(A167, Posts!A:H, 7, FALSE)</f>
        <v>3689</v>
      </c>
      <c r="E167" s="16">
        <f>VLOOKUP(A167, Posts!A:I, 8, FALSE)
</f>
        <v>48</v>
      </c>
    </row>
    <row r="168">
      <c r="A168" s="9" t="s">
        <v>330</v>
      </c>
      <c r="B168" s="11">
        <v>51.0</v>
      </c>
      <c r="C168" s="12" t="s">
        <v>38</v>
      </c>
      <c r="D168" s="16">
        <f>VLOOKUP(A168, Posts!A:H, 7, FALSE)</f>
        <v>4285</v>
      </c>
      <c r="E168" s="16">
        <f>VLOOKUP(A168, Posts!A:I, 8, FALSE)
</f>
        <v>886</v>
      </c>
    </row>
    <row r="169">
      <c r="A169" s="9" t="s">
        <v>264</v>
      </c>
      <c r="B169" s="11">
        <v>223.0</v>
      </c>
      <c r="C169" s="12" t="s">
        <v>33</v>
      </c>
      <c r="D169" s="16">
        <f>VLOOKUP(A169, Posts!A:H, 7, FALSE)</f>
        <v>4858</v>
      </c>
      <c r="E169" s="16">
        <f>VLOOKUP(A169, Posts!A:I, 8, FALSE)
</f>
        <v>317</v>
      </c>
    </row>
    <row r="170">
      <c r="A170" s="9" t="s">
        <v>185</v>
      </c>
      <c r="B170" s="11">
        <v>150.0</v>
      </c>
      <c r="C170" s="12" t="s">
        <v>38</v>
      </c>
      <c r="D170" s="16">
        <f>VLOOKUP(A170, Posts!A:H, 7, FALSE)</f>
        <v>4771</v>
      </c>
      <c r="E170" s="16">
        <f>VLOOKUP(A170, Posts!A:I, 8, FALSE)
</f>
        <v>818</v>
      </c>
    </row>
    <row r="171">
      <c r="A171" s="9" t="s">
        <v>265</v>
      </c>
      <c r="B171" s="11">
        <v>216.0</v>
      </c>
      <c r="C171" s="12" t="s">
        <v>25</v>
      </c>
      <c r="D171" s="16">
        <f>VLOOKUP(A171, Posts!A:H, 7, FALSE)</f>
        <v>2358</v>
      </c>
      <c r="E171" s="16">
        <f>VLOOKUP(A171, Posts!A:I, 8, FALSE)
</f>
        <v>784</v>
      </c>
    </row>
    <row r="172">
      <c r="A172" s="9" t="s">
        <v>331</v>
      </c>
      <c r="B172" s="11">
        <v>38.0</v>
      </c>
      <c r="C172" s="12" t="s">
        <v>38</v>
      </c>
      <c r="D172" s="16">
        <f>VLOOKUP(A172, Posts!A:H, 7, FALSE)</f>
        <v>1018</v>
      </c>
      <c r="E172" s="16">
        <f>VLOOKUP(A172, Posts!A:I, 8, FALSE)
</f>
        <v>447</v>
      </c>
    </row>
    <row r="173">
      <c r="A173" s="9" t="s">
        <v>332</v>
      </c>
      <c r="B173" s="11">
        <v>296.0</v>
      </c>
      <c r="C173" s="12" t="s">
        <v>33</v>
      </c>
      <c r="D173" s="16">
        <f>VLOOKUP(A173, Posts!A:H, 7, FALSE)</f>
        <v>3641</v>
      </c>
      <c r="E173" s="16">
        <f>VLOOKUP(A173, Posts!A:I, 8, FALSE)
</f>
        <v>226</v>
      </c>
    </row>
    <row r="174">
      <c r="A174" s="9" t="s">
        <v>266</v>
      </c>
      <c r="B174" s="11">
        <v>32.0</v>
      </c>
      <c r="C174" s="12" t="s">
        <v>38</v>
      </c>
      <c r="D174" s="16">
        <f>VLOOKUP(A174, Posts!A:H, 7, FALSE)</f>
        <v>3592</v>
      </c>
      <c r="E174" s="16">
        <f>VLOOKUP(A174, Posts!A:I, 8, FALSE)
</f>
        <v>911</v>
      </c>
    </row>
    <row r="175">
      <c r="A175" s="9" t="s">
        <v>186</v>
      </c>
      <c r="B175" s="11">
        <v>71.0</v>
      </c>
      <c r="C175" s="12" t="s">
        <v>33</v>
      </c>
      <c r="D175" s="16">
        <f>VLOOKUP(A175, Posts!A:H, 7, FALSE)</f>
        <v>4523</v>
      </c>
      <c r="E175" s="16">
        <f>VLOOKUP(A175, Posts!A:I, 8, FALSE)
</f>
        <v>61</v>
      </c>
    </row>
    <row r="176">
      <c r="A176" s="9" t="s">
        <v>187</v>
      </c>
      <c r="B176" s="11">
        <v>283.0</v>
      </c>
      <c r="C176" s="12" t="s">
        <v>25</v>
      </c>
      <c r="D176" s="16">
        <f>VLOOKUP(A176, Posts!A:H, 7, FALSE)</f>
        <v>1816</v>
      </c>
      <c r="E176" s="16">
        <f>VLOOKUP(A176, Posts!A:I, 8, FALSE)
</f>
        <v>29</v>
      </c>
    </row>
    <row r="177">
      <c r="A177" s="9" t="s">
        <v>83</v>
      </c>
      <c r="B177" s="11">
        <v>159.0</v>
      </c>
      <c r="C177" s="12" t="s">
        <v>33</v>
      </c>
      <c r="D177" s="16">
        <f>VLOOKUP(A177, Posts!A:H, 7, FALSE)</f>
        <v>4441</v>
      </c>
      <c r="E177" s="16">
        <f>VLOOKUP(A177, Posts!A:I, 8, FALSE)
</f>
        <v>511</v>
      </c>
    </row>
    <row r="178">
      <c r="A178" s="9" t="s">
        <v>333</v>
      </c>
      <c r="B178" s="11">
        <v>147.0</v>
      </c>
      <c r="C178" s="12" t="s">
        <v>33</v>
      </c>
      <c r="D178" s="16">
        <f>VLOOKUP(A178, Posts!A:H, 7, FALSE)</f>
        <v>2746</v>
      </c>
      <c r="E178" s="16">
        <f>VLOOKUP(A178, Posts!A:I, 8, FALSE)
</f>
        <v>156</v>
      </c>
    </row>
    <row r="179">
      <c r="A179" s="9" t="s">
        <v>267</v>
      </c>
      <c r="B179" s="11">
        <v>149.0</v>
      </c>
      <c r="C179" s="12" t="s">
        <v>38</v>
      </c>
      <c r="D179" s="16">
        <f>VLOOKUP(A179, Posts!A:H, 7, FALSE)</f>
        <v>1292</v>
      </c>
      <c r="E179" s="16">
        <f>VLOOKUP(A179, Posts!A:I, 8, FALSE)
</f>
        <v>626</v>
      </c>
    </row>
    <row r="180">
      <c r="A180" s="9" t="s">
        <v>188</v>
      </c>
      <c r="B180" s="11">
        <v>174.0</v>
      </c>
      <c r="C180" s="12" t="s">
        <v>33</v>
      </c>
      <c r="D180" s="16">
        <f>VLOOKUP(A180, Posts!A:H, 7, FALSE)</f>
        <v>2180</v>
      </c>
      <c r="E180" s="16">
        <f>VLOOKUP(A180, Posts!A:I, 8, FALSE)
</f>
        <v>263</v>
      </c>
    </row>
    <row r="181">
      <c r="A181" s="9" t="s">
        <v>334</v>
      </c>
      <c r="B181" s="11">
        <v>52.0</v>
      </c>
      <c r="C181" s="12" t="s">
        <v>33</v>
      </c>
      <c r="D181" s="16">
        <f>VLOOKUP(A181, Posts!A:H, 7, FALSE)</f>
        <v>1766</v>
      </c>
      <c r="E181" s="16">
        <f>VLOOKUP(A181, Posts!A:I, 8, FALSE)
</f>
        <v>92</v>
      </c>
    </row>
    <row r="182">
      <c r="A182" s="9" t="s">
        <v>84</v>
      </c>
      <c r="B182" s="11">
        <v>123.0</v>
      </c>
      <c r="C182" s="12" t="s">
        <v>33</v>
      </c>
      <c r="D182" s="16">
        <f>VLOOKUP(A182, Posts!A:H, 7, FALSE)</f>
        <v>1226</v>
      </c>
      <c r="E182" s="16">
        <f>VLOOKUP(A182, Posts!A:I, 8, FALSE)
</f>
        <v>119</v>
      </c>
    </row>
    <row r="183">
      <c r="A183" s="9" t="s">
        <v>189</v>
      </c>
      <c r="B183" s="11">
        <v>52.0</v>
      </c>
      <c r="C183" s="12" t="s">
        <v>25</v>
      </c>
      <c r="D183" s="16">
        <f>VLOOKUP(A183, Posts!A:H, 7, FALSE)</f>
        <v>3099</v>
      </c>
      <c r="E183" s="16">
        <f>VLOOKUP(A183, Posts!A:I, 8, FALSE)
</f>
        <v>694</v>
      </c>
    </row>
    <row r="184">
      <c r="A184" s="9" t="s">
        <v>268</v>
      </c>
      <c r="B184" s="11">
        <v>20.0</v>
      </c>
      <c r="C184" s="12" t="s">
        <v>25</v>
      </c>
      <c r="D184" s="16">
        <f>VLOOKUP(A184, Posts!A:H, 7, FALSE)</f>
        <v>1082</v>
      </c>
      <c r="E184" s="16">
        <f>VLOOKUP(A184, Posts!A:I, 8, FALSE)
</f>
        <v>209</v>
      </c>
    </row>
    <row r="185">
      <c r="A185" s="9" t="s">
        <v>269</v>
      </c>
      <c r="B185" s="11">
        <v>15.0</v>
      </c>
      <c r="C185" s="12" t="s">
        <v>38</v>
      </c>
      <c r="D185" s="16">
        <f>VLOOKUP(A185, Posts!A:H, 7, FALSE)</f>
        <v>1461</v>
      </c>
      <c r="E185" s="16">
        <f>VLOOKUP(A185, Posts!A:I, 8, FALSE)
</f>
        <v>184</v>
      </c>
    </row>
    <row r="186">
      <c r="A186" s="9" t="s">
        <v>270</v>
      </c>
      <c r="B186" s="11">
        <v>49.0</v>
      </c>
      <c r="C186" s="12" t="s">
        <v>33</v>
      </c>
      <c r="D186" s="16">
        <f>VLOOKUP(A186, Posts!A:H, 7, FALSE)</f>
        <v>802</v>
      </c>
      <c r="E186" s="16">
        <f>VLOOKUP(A186, Posts!A:I, 8, FALSE)
</f>
        <v>262</v>
      </c>
    </row>
    <row r="187">
      <c r="A187" s="9" t="s">
        <v>335</v>
      </c>
      <c r="B187" s="11">
        <v>11.0</v>
      </c>
      <c r="C187" s="12" t="s">
        <v>25</v>
      </c>
      <c r="D187" s="16">
        <f>VLOOKUP(A187, Posts!A:H, 7, FALSE)</f>
        <v>3711</v>
      </c>
      <c r="E187" s="16">
        <f>VLOOKUP(A187, Posts!A:I, 8, FALSE)
</f>
        <v>352</v>
      </c>
    </row>
    <row r="188">
      <c r="A188" s="9" t="s">
        <v>336</v>
      </c>
      <c r="B188" s="11">
        <v>211.0</v>
      </c>
      <c r="C188" s="12" t="s">
        <v>38</v>
      </c>
      <c r="D188" s="16">
        <f>VLOOKUP(A188, Posts!A:H, 7, FALSE)</f>
        <v>3009</v>
      </c>
      <c r="E188" s="16">
        <f>VLOOKUP(A188, Posts!A:I, 8, FALSE)
</f>
        <v>413</v>
      </c>
    </row>
    <row r="189">
      <c r="A189" s="9" t="s">
        <v>337</v>
      </c>
      <c r="B189" s="11">
        <v>22.0</v>
      </c>
      <c r="C189" s="12" t="s">
        <v>33</v>
      </c>
      <c r="D189" s="16">
        <f>VLOOKUP(A189, Posts!A:H, 7, FALSE)</f>
        <v>2936</v>
      </c>
      <c r="E189" s="16">
        <f>VLOOKUP(A189, Posts!A:I, 8, FALSE)
</f>
        <v>439</v>
      </c>
    </row>
    <row r="190">
      <c r="A190" s="9" t="s">
        <v>190</v>
      </c>
      <c r="B190" s="11">
        <v>266.0</v>
      </c>
      <c r="C190" s="12" t="s">
        <v>33</v>
      </c>
      <c r="D190" s="16">
        <f>VLOOKUP(A190, Posts!A:H, 7, FALSE)</f>
        <v>3068</v>
      </c>
      <c r="E190" s="16">
        <f>VLOOKUP(A190, Posts!A:I, 8, FALSE)
</f>
        <v>137</v>
      </c>
    </row>
    <row r="191">
      <c r="A191" s="9" t="s">
        <v>338</v>
      </c>
      <c r="B191" s="11">
        <v>88.0</v>
      </c>
      <c r="C191" s="12" t="s">
        <v>33</v>
      </c>
      <c r="D191" s="16">
        <f>VLOOKUP(A191, Posts!A:H, 7, FALSE)</f>
        <v>296</v>
      </c>
      <c r="E191" s="16">
        <f>VLOOKUP(A191, Posts!A:I, 8, FALSE)
</f>
        <v>60</v>
      </c>
    </row>
    <row r="192">
      <c r="A192" s="9" t="s">
        <v>85</v>
      </c>
      <c r="B192" s="11">
        <v>131.0</v>
      </c>
      <c r="C192" s="12" t="s">
        <v>25</v>
      </c>
      <c r="D192" s="16">
        <f>VLOOKUP(A192, Posts!A:H, 7, FALSE)</f>
        <v>3784</v>
      </c>
      <c r="E192" s="16">
        <f>VLOOKUP(A192, Posts!A:I, 8, FALSE)
</f>
        <v>808</v>
      </c>
    </row>
    <row r="193">
      <c r="A193" s="9" t="s">
        <v>191</v>
      </c>
      <c r="B193" s="11">
        <v>10.0</v>
      </c>
      <c r="C193" s="12" t="s">
        <v>25</v>
      </c>
      <c r="D193" s="16">
        <f>VLOOKUP(A193, Posts!A:H, 7, FALSE)</f>
        <v>4332</v>
      </c>
      <c r="E193" s="16">
        <f>VLOOKUP(A193, Posts!A:I, 8, FALSE)
</f>
        <v>771</v>
      </c>
    </row>
    <row r="194">
      <c r="A194" s="9" t="s">
        <v>271</v>
      </c>
      <c r="B194" s="11">
        <v>254.0</v>
      </c>
      <c r="C194" s="12" t="s">
        <v>33</v>
      </c>
      <c r="D194" s="16">
        <f>VLOOKUP(A194, Posts!A:H, 7, FALSE)</f>
        <v>827</v>
      </c>
      <c r="E194" s="16">
        <f>VLOOKUP(A194, Posts!A:I, 8, FALSE)
</f>
        <v>77</v>
      </c>
    </row>
    <row r="195">
      <c r="A195" s="9" t="s">
        <v>192</v>
      </c>
      <c r="B195" s="11">
        <v>36.0</v>
      </c>
      <c r="C195" s="12" t="s">
        <v>25</v>
      </c>
      <c r="D195" s="16">
        <f>VLOOKUP(A195, Posts!A:H, 7, FALSE)</f>
        <v>4739</v>
      </c>
      <c r="E195" s="16">
        <f>VLOOKUP(A195, Posts!A:I, 8, FALSE)
</f>
        <v>527</v>
      </c>
    </row>
    <row r="196">
      <c r="A196" s="9" t="s">
        <v>272</v>
      </c>
      <c r="B196" s="11">
        <v>205.0</v>
      </c>
      <c r="C196" s="12" t="s">
        <v>33</v>
      </c>
      <c r="D196" s="16">
        <f>VLOOKUP(A196, Posts!A:H, 7, FALSE)</f>
        <v>3791</v>
      </c>
      <c r="E196" s="16">
        <f>VLOOKUP(A196, Posts!A:I, 8, FALSE)
</f>
        <v>593</v>
      </c>
    </row>
    <row r="197">
      <c r="A197" s="9" t="s">
        <v>86</v>
      </c>
      <c r="B197" s="11">
        <v>255.0</v>
      </c>
      <c r="C197" s="12" t="s">
        <v>38</v>
      </c>
      <c r="D197" s="16">
        <f>VLOOKUP(A197, Posts!A:H, 7, FALSE)</f>
        <v>1841</v>
      </c>
      <c r="E197" s="16">
        <f>VLOOKUP(A197, Posts!A:I, 8, FALSE)
</f>
        <v>851</v>
      </c>
    </row>
    <row r="198">
      <c r="A198" s="9" t="s">
        <v>87</v>
      </c>
      <c r="B198" s="11">
        <v>120.0</v>
      </c>
      <c r="C198" s="12" t="s">
        <v>38</v>
      </c>
      <c r="D198" s="16">
        <f>VLOOKUP(A198, Posts!A:H, 7, FALSE)</f>
        <v>3430</v>
      </c>
      <c r="E198" s="16">
        <f>VLOOKUP(A198, Posts!A:I, 8, FALSE)
</f>
        <v>566</v>
      </c>
    </row>
    <row r="199">
      <c r="A199" s="9" t="s">
        <v>339</v>
      </c>
      <c r="B199" s="11">
        <v>135.0</v>
      </c>
      <c r="C199" s="12" t="s">
        <v>25</v>
      </c>
      <c r="D199" s="16">
        <f>VLOOKUP(A199, Posts!A:H, 7, FALSE)</f>
        <v>2949</v>
      </c>
      <c r="E199" s="16">
        <f>VLOOKUP(A199, Posts!A:I, 8, FALSE)
</f>
        <v>476</v>
      </c>
    </row>
    <row r="200">
      <c r="A200" s="9" t="s">
        <v>273</v>
      </c>
      <c r="B200" s="11">
        <v>145.0</v>
      </c>
      <c r="C200" s="12" t="s">
        <v>33</v>
      </c>
      <c r="D200" s="16">
        <f>VLOOKUP(A200, Posts!A:H, 7, FALSE)</f>
        <v>929</v>
      </c>
      <c r="E200" s="16">
        <f>VLOOKUP(A200, Posts!A:I, 8, FALSE)
</f>
        <v>192</v>
      </c>
    </row>
    <row r="201">
      <c r="A201" s="9" t="s">
        <v>193</v>
      </c>
      <c r="B201" s="11">
        <v>251.0</v>
      </c>
      <c r="C201" s="12" t="s">
        <v>38</v>
      </c>
      <c r="D201" s="16">
        <f>VLOOKUP(A201, Posts!A:H, 7, FALSE)</f>
        <v>1430</v>
      </c>
      <c r="E201" s="16">
        <f>VLOOKUP(A201, Posts!A:I, 8, FALSE)
</f>
        <v>376</v>
      </c>
    </row>
    <row r="202">
      <c r="A202" s="9" t="s">
        <v>194</v>
      </c>
      <c r="B202" s="11">
        <v>298.0</v>
      </c>
      <c r="C202" s="12" t="s">
        <v>25</v>
      </c>
      <c r="D202" s="16">
        <f>VLOOKUP(A202, Posts!A:H, 7, FALSE)</f>
        <v>4619</v>
      </c>
      <c r="E202" s="16">
        <f>VLOOKUP(A202, Posts!A:I, 8, FALSE)
</f>
        <v>821</v>
      </c>
    </row>
    <row r="203">
      <c r="A203" s="9" t="s">
        <v>195</v>
      </c>
      <c r="B203" s="11">
        <v>200.0</v>
      </c>
      <c r="C203" s="12" t="s">
        <v>38</v>
      </c>
      <c r="D203" s="16">
        <f>VLOOKUP(A203, Posts!A:H, 7, FALSE)</f>
        <v>725</v>
      </c>
      <c r="E203" s="16">
        <f>VLOOKUP(A203, Posts!A:I, 8, FALSE)
</f>
        <v>88</v>
      </c>
    </row>
    <row r="204">
      <c r="A204" s="9" t="s">
        <v>340</v>
      </c>
      <c r="B204" s="11">
        <v>277.0</v>
      </c>
      <c r="C204" s="12" t="s">
        <v>25</v>
      </c>
      <c r="D204" s="16">
        <f>VLOOKUP(A204, Posts!A:H, 7, FALSE)</f>
        <v>2509</v>
      </c>
      <c r="E204" s="16">
        <f>VLOOKUP(A204, Posts!A:I, 8, FALSE)
</f>
        <v>324</v>
      </c>
    </row>
    <row r="205">
      <c r="A205" s="9" t="s">
        <v>341</v>
      </c>
      <c r="B205" s="11">
        <v>137.0</v>
      </c>
      <c r="C205" s="12" t="s">
        <v>38</v>
      </c>
      <c r="D205" s="16">
        <f>VLOOKUP(A205, Posts!A:H, 7, FALSE)</f>
        <v>2728</v>
      </c>
      <c r="E205" s="16">
        <f>VLOOKUP(A205, Posts!A:I, 8, FALSE)
</f>
        <v>533</v>
      </c>
    </row>
    <row r="206">
      <c r="A206" s="9" t="s">
        <v>88</v>
      </c>
      <c r="B206" s="11">
        <v>264.0</v>
      </c>
      <c r="C206" s="12" t="s">
        <v>33</v>
      </c>
      <c r="D206" s="16">
        <f>VLOOKUP(A206, Posts!A:H, 7, FALSE)</f>
        <v>4292</v>
      </c>
      <c r="E206" s="16">
        <f>VLOOKUP(A206, Posts!A:I, 8, FALSE)
</f>
        <v>51</v>
      </c>
    </row>
    <row r="207">
      <c r="A207" s="9" t="s">
        <v>342</v>
      </c>
      <c r="B207" s="11">
        <v>195.0</v>
      </c>
      <c r="C207" s="12" t="s">
        <v>33</v>
      </c>
      <c r="D207" s="16">
        <f>VLOOKUP(A207, Posts!A:H, 7, FALSE)</f>
        <v>4350</v>
      </c>
      <c r="E207" s="16">
        <f>VLOOKUP(A207, Posts!A:I, 8, FALSE)
</f>
        <v>771</v>
      </c>
    </row>
    <row r="208">
      <c r="A208" s="9" t="s">
        <v>196</v>
      </c>
      <c r="B208" s="11">
        <v>269.0</v>
      </c>
      <c r="C208" s="12" t="s">
        <v>33</v>
      </c>
      <c r="D208" s="16">
        <f>VLOOKUP(A208, Posts!A:H, 7, FALSE)</f>
        <v>4579</v>
      </c>
      <c r="E208" s="16">
        <f>VLOOKUP(A208, Posts!A:I, 8, FALSE)
</f>
        <v>125</v>
      </c>
    </row>
    <row r="209">
      <c r="A209" s="9" t="s">
        <v>197</v>
      </c>
      <c r="B209" s="11">
        <v>191.0</v>
      </c>
      <c r="C209" s="12" t="s">
        <v>33</v>
      </c>
      <c r="D209" s="16">
        <f>VLOOKUP(A209, Posts!A:H, 7, FALSE)</f>
        <v>2107</v>
      </c>
      <c r="E209" s="16">
        <f>VLOOKUP(A209, Posts!A:I, 8, FALSE)
</f>
        <v>550</v>
      </c>
    </row>
    <row r="210">
      <c r="A210" s="9" t="s">
        <v>274</v>
      </c>
      <c r="B210" s="11">
        <v>300.0</v>
      </c>
      <c r="C210" s="12" t="s">
        <v>33</v>
      </c>
      <c r="D210" s="16">
        <f>VLOOKUP(A210, Posts!A:H, 7, FALSE)</f>
        <v>1644</v>
      </c>
      <c r="E210" s="16">
        <f>VLOOKUP(A210, Posts!A:I, 8, FALSE)
</f>
        <v>546</v>
      </c>
    </row>
    <row r="211">
      <c r="A211" s="9" t="s">
        <v>275</v>
      </c>
      <c r="B211" s="11">
        <v>191.0</v>
      </c>
      <c r="C211" s="12" t="s">
        <v>25</v>
      </c>
      <c r="D211" s="16">
        <f>VLOOKUP(A211, Posts!A:H, 7, FALSE)</f>
        <v>4494</v>
      </c>
      <c r="E211" s="16">
        <f>VLOOKUP(A211, Posts!A:I, 8, FALSE)
</f>
        <v>717</v>
      </c>
    </row>
    <row r="212">
      <c r="A212" s="9" t="s">
        <v>343</v>
      </c>
      <c r="B212" s="11">
        <v>104.0</v>
      </c>
      <c r="C212" s="12" t="s">
        <v>33</v>
      </c>
      <c r="D212" s="16">
        <f>VLOOKUP(A212, Posts!A:H, 7, FALSE)</f>
        <v>4275</v>
      </c>
      <c r="E212" s="16">
        <f>VLOOKUP(A212, Posts!A:I, 8, FALSE)
</f>
        <v>680</v>
      </c>
    </row>
    <row r="213">
      <c r="A213" s="9" t="s">
        <v>198</v>
      </c>
      <c r="B213" s="11">
        <v>170.0</v>
      </c>
      <c r="C213" s="12" t="s">
        <v>33</v>
      </c>
      <c r="D213" s="16">
        <f>VLOOKUP(A213, Posts!A:H, 7, FALSE)</f>
        <v>4853</v>
      </c>
      <c r="E213" s="16">
        <f>VLOOKUP(A213, Posts!A:I, 8, FALSE)
</f>
        <v>837</v>
      </c>
    </row>
    <row r="214">
      <c r="A214" s="9" t="s">
        <v>276</v>
      </c>
      <c r="B214" s="11">
        <v>49.0</v>
      </c>
      <c r="C214" s="12" t="s">
        <v>38</v>
      </c>
      <c r="D214" s="16">
        <f>VLOOKUP(A214, Posts!A:H, 7, FALSE)</f>
        <v>3160</v>
      </c>
      <c r="E214" s="16">
        <f>VLOOKUP(A214, Posts!A:I, 8, FALSE)
</f>
        <v>204</v>
      </c>
    </row>
    <row r="215">
      <c r="A215" s="9" t="s">
        <v>89</v>
      </c>
      <c r="B215" s="11">
        <v>248.0</v>
      </c>
      <c r="C215" s="12" t="s">
        <v>33</v>
      </c>
      <c r="D215" s="16">
        <f>VLOOKUP(A215, Posts!A:H, 7, FALSE)</f>
        <v>2696</v>
      </c>
      <c r="E215" s="16">
        <f>VLOOKUP(A215, Posts!A:I, 8, FALSE)
</f>
        <v>628</v>
      </c>
    </row>
    <row r="216">
      <c r="A216" s="9" t="s">
        <v>90</v>
      </c>
      <c r="B216" s="11">
        <v>288.0</v>
      </c>
      <c r="C216" s="12" t="s">
        <v>33</v>
      </c>
      <c r="D216" s="16">
        <f>VLOOKUP(A216, Posts!A:H, 7, FALSE)</f>
        <v>1871</v>
      </c>
      <c r="E216" s="16">
        <f>VLOOKUP(A216, Posts!A:I, 8, FALSE)
</f>
        <v>252</v>
      </c>
    </row>
    <row r="217">
      <c r="A217" s="9" t="s">
        <v>277</v>
      </c>
      <c r="B217" s="11">
        <v>21.0</v>
      </c>
      <c r="C217" s="12" t="s">
        <v>38</v>
      </c>
      <c r="D217" s="16">
        <f>VLOOKUP(A217, Posts!A:H, 7, FALSE)</f>
        <v>954</v>
      </c>
      <c r="E217" s="16">
        <f>VLOOKUP(A217, Posts!A:I, 8, FALSE)
</f>
        <v>324</v>
      </c>
    </row>
    <row r="218">
      <c r="A218" s="9" t="s">
        <v>91</v>
      </c>
      <c r="B218" s="11">
        <v>75.0</v>
      </c>
      <c r="C218" s="12" t="s">
        <v>38</v>
      </c>
      <c r="D218" s="16">
        <f>VLOOKUP(A218, Posts!A:H, 7, FALSE)</f>
        <v>2878</v>
      </c>
      <c r="E218" s="16">
        <f>VLOOKUP(A218, Posts!A:I, 8, FALSE)
</f>
        <v>248</v>
      </c>
    </row>
    <row r="219">
      <c r="A219" s="9" t="s">
        <v>199</v>
      </c>
      <c r="B219" s="11">
        <v>195.0</v>
      </c>
      <c r="C219" s="12" t="s">
        <v>33</v>
      </c>
      <c r="D219" s="16">
        <f>VLOOKUP(A219, Posts!A:H, 7, FALSE)</f>
        <v>4808</v>
      </c>
      <c r="E219" s="16">
        <f>VLOOKUP(A219, Posts!A:I, 8, FALSE)
</f>
        <v>772</v>
      </c>
    </row>
    <row r="220">
      <c r="A220" s="9" t="s">
        <v>278</v>
      </c>
      <c r="B220" s="11">
        <v>99.0</v>
      </c>
      <c r="C220" s="12" t="s">
        <v>25</v>
      </c>
      <c r="D220" s="16">
        <f>VLOOKUP(A220, Posts!A:H, 7, FALSE)</f>
        <v>1121</v>
      </c>
      <c r="E220" s="16">
        <f>VLOOKUP(A220, Posts!A:I, 8, FALSE)
</f>
        <v>135</v>
      </c>
    </row>
    <row r="221">
      <c r="A221" s="9" t="s">
        <v>279</v>
      </c>
      <c r="B221" s="11">
        <v>169.0</v>
      </c>
      <c r="C221" s="12" t="s">
        <v>25</v>
      </c>
      <c r="D221" s="16">
        <f>VLOOKUP(A221, Posts!A:H, 7, FALSE)</f>
        <v>2825</v>
      </c>
      <c r="E221" s="16">
        <f>VLOOKUP(A221, Posts!A:I, 8, FALSE)
</f>
        <v>535</v>
      </c>
    </row>
    <row r="222">
      <c r="A222" s="9" t="s">
        <v>200</v>
      </c>
      <c r="B222" s="11">
        <v>264.0</v>
      </c>
      <c r="C222" s="12" t="s">
        <v>33</v>
      </c>
      <c r="D222" s="16">
        <f>VLOOKUP(A222, Posts!A:H, 7, FALSE)</f>
        <v>3432</v>
      </c>
      <c r="E222" s="16">
        <f>VLOOKUP(A222, Posts!A:I, 8, FALSE)
</f>
        <v>869</v>
      </c>
    </row>
    <row r="223">
      <c r="A223" s="9" t="s">
        <v>92</v>
      </c>
      <c r="B223" s="11">
        <v>133.0</v>
      </c>
      <c r="C223" s="12" t="s">
        <v>25</v>
      </c>
      <c r="D223" s="16">
        <f>VLOOKUP(A223, Posts!A:H, 7, FALSE)</f>
        <v>1570</v>
      </c>
      <c r="E223" s="16">
        <f>VLOOKUP(A223, Posts!A:I, 8, FALSE)
</f>
        <v>187</v>
      </c>
    </row>
    <row r="224">
      <c r="A224" s="9" t="s">
        <v>93</v>
      </c>
      <c r="B224" s="11">
        <v>57.0</v>
      </c>
      <c r="C224" s="12" t="s">
        <v>38</v>
      </c>
      <c r="D224" s="16">
        <f>VLOOKUP(A224, Posts!A:H, 7, FALSE)</f>
        <v>4551</v>
      </c>
      <c r="E224" s="16">
        <f>VLOOKUP(A224, Posts!A:I, 8, FALSE)
</f>
        <v>714</v>
      </c>
    </row>
    <row r="225">
      <c r="A225" s="9" t="s">
        <v>94</v>
      </c>
      <c r="B225" s="11">
        <v>25.0</v>
      </c>
      <c r="C225" s="12" t="s">
        <v>33</v>
      </c>
      <c r="D225" s="16">
        <f>VLOOKUP(A225, Posts!A:H, 7, FALSE)</f>
        <v>3090</v>
      </c>
      <c r="E225" s="16">
        <f>VLOOKUP(A225, Posts!A:I, 8, FALSE)
</f>
        <v>697</v>
      </c>
    </row>
    <row r="226">
      <c r="A226" s="9" t="s">
        <v>95</v>
      </c>
      <c r="B226" s="11">
        <v>137.0</v>
      </c>
      <c r="C226" s="12" t="s">
        <v>33</v>
      </c>
      <c r="D226" s="16">
        <f>VLOOKUP(A226, Posts!A:H, 7, FALSE)</f>
        <v>1263</v>
      </c>
      <c r="E226" s="16">
        <f>VLOOKUP(A226, Posts!A:I, 8, FALSE)
</f>
        <v>397</v>
      </c>
    </row>
    <row r="227">
      <c r="A227" s="9" t="s">
        <v>280</v>
      </c>
      <c r="B227" s="11">
        <v>44.0</v>
      </c>
      <c r="C227" s="12" t="s">
        <v>25</v>
      </c>
      <c r="D227" s="16">
        <f>VLOOKUP(A227, Posts!A:H, 7, FALSE)</f>
        <v>3535</v>
      </c>
      <c r="E227" s="16">
        <f>VLOOKUP(A227, Posts!A:I, 8, FALSE)
</f>
        <v>494</v>
      </c>
    </row>
    <row r="228">
      <c r="A228" s="9" t="s">
        <v>96</v>
      </c>
      <c r="B228" s="11">
        <v>225.0</v>
      </c>
      <c r="C228" s="12" t="s">
        <v>38</v>
      </c>
      <c r="D228" s="16">
        <f>VLOOKUP(A228, Posts!A:H, 7, FALSE)</f>
        <v>2200</v>
      </c>
      <c r="E228" s="16">
        <f>VLOOKUP(A228, Posts!A:I, 8, FALSE)
</f>
        <v>504</v>
      </c>
    </row>
    <row r="229">
      <c r="A229" s="9" t="s">
        <v>201</v>
      </c>
      <c r="B229" s="11">
        <v>28.0</v>
      </c>
      <c r="C229" s="12" t="s">
        <v>38</v>
      </c>
      <c r="D229" s="16">
        <f>VLOOKUP(A229, Posts!A:H, 7, FALSE)</f>
        <v>2103</v>
      </c>
      <c r="E229" s="16">
        <f>VLOOKUP(A229, Posts!A:I, 8, FALSE)
</f>
        <v>892</v>
      </c>
    </row>
    <row r="230">
      <c r="A230" s="9" t="s">
        <v>97</v>
      </c>
      <c r="B230" s="11">
        <v>84.0</v>
      </c>
      <c r="C230" s="12" t="s">
        <v>33</v>
      </c>
      <c r="D230" s="16">
        <f>VLOOKUP(A230, Posts!A:H, 7, FALSE)</f>
        <v>3663</v>
      </c>
      <c r="E230" s="16">
        <f>VLOOKUP(A230, Posts!A:I, 8, FALSE)
</f>
        <v>17</v>
      </c>
    </row>
    <row r="231">
      <c r="A231" s="9" t="s">
        <v>281</v>
      </c>
      <c r="B231" s="11">
        <v>76.0</v>
      </c>
      <c r="C231" s="12" t="s">
        <v>33</v>
      </c>
      <c r="D231" s="16">
        <f>VLOOKUP(A231, Posts!A:H, 7, FALSE)</f>
        <v>1702</v>
      </c>
      <c r="E231" s="16">
        <f>VLOOKUP(A231, Posts!A:I, 8, FALSE)
</f>
        <v>750</v>
      </c>
    </row>
    <row r="232">
      <c r="A232" s="9" t="s">
        <v>202</v>
      </c>
      <c r="B232" s="11">
        <v>83.0</v>
      </c>
      <c r="C232" s="12" t="s">
        <v>38</v>
      </c>
      <c r="D232" s="16">
        <f>VLOOKUP(A232, Posts!A:H, 7, FALSE)</f>
        <v>4838</v>
      </c>
      <c r="E232" s="16">
        <f>VLOOKUP(A232, Posts!A:I, 8, FALSE)
</f>
        <v>640</v>
      </c>
    </row>
    <row r="233">
      <c r="A233" s="9" t="s">
        <v>98</v>
      </c>
      <c r="B233" s="11">
        <v>225.0</v>
      </c>
      <c r="C233" s="12" t="s">
        <v>25</v>
      </c>
      <c r="D233" s="16">
        <f>VLOOKUP(A233, Posts!A:H, 7, FALSE)</f>
        <v>1606</v>
      </c>
      <c r="E233" s="16">
        <f>VLOOKUP(A233, Posts!A:I, 8, FALSE)
</f>
        <v>547</v>
      </c>
    </row>
    <row r="234">
      <c r="A234" s="9" t="s">
        <v>203</v>
      </c>
      <c r="B234" s="11">
        <v>31.0</v>
      </c>
      <c r="C234" s="12" t="s">
        <v>33</v>
      </c>
      <c r="D234" s="16">
        <f>VLOOKUP(A234, Posts!A:H, 7, FALSE)</f>
        <v>4518</v>
      </c>
      <c r="E234" s="16">
        <f>VLOOKUP(A234, Posts!A:I, 8, FALSE)
</f>
        <v>285</v>
      </c>
    </row>
    <row r="235">
      <c r="A235" s="9" t="s">
        <v>282</v>
      </c>
      <c r="B235" s="11">
        <v>117.0</v>
      </c>
      <c r="C235" s="12" t="s">
        <v>25</v>
      </c>
      <c r="D235" s="16">
        <f>VLOOKUP(A235, Posts!A:H, 7, FALSE)</f>
        <v>4054</v>
      </c>
      <c r="E235" s="16">
        <f>VLOOKUP(A235, Posts!A:I, 8, FALSE)
</f>
        <v>389</v>
      </c>
    </row>
    <row r="236">
      <c r="A236" s="9" t="s">
        <v>99</v>
      </c>
      <c r="B236" s="11">
        <v>42.0</v>
      </c>
      <c r="C236" s="12" t="s">
        <v>25</v>
      </c>
      <c r="D236" s="16">
        <f>VLOOKUP(A236, Posts!A:H, 7, FALSE)</f>
        <v>1272</v>
      </c>
      <c r="E236" s="16">
        <f>VLOOKUP(A236, Posts!A:I, 8, FALSE)
</f>
        <v>465</v>
      </c>
    </row>
    <row r="237">
      <c r="A237" s="9" t="s">
        <v>344</v>
      </c>
      <c r="B237" s="11">
        <v>114.0</v>
      </c>
      <c r="C237" s="12" t="s">
        <v>33</v>
      </c>
      <c r="D237" s="16">
        <f>VLOOKUP(A237, Posts!A:H, 7, FALSE)</f>
        <v>1171</v>
      </c>
      <c r="E237" s="16">
        <f>VLOOKUP(A237, Posts!A:I, 8, FALSE)
</f>
        <v>286</v>
      </c>
    </row>
    <row r="238">
      <c r="A238" s="9" t="s">
        <v>100</v>
      </c>
      <c r="B238" s="11">
        <v>87.0</v>
      </c>
      <c r="C238" s="12" t="s">
        <v>38</v>
      </c>
      <c r="D238" s="16">
        <f>VLOOKUP(A238, Posts!A:H, 7, FALSE)</f>
        <v>3452</v>
      </c>
      <c r="E238" s="16">
        <f>VLOOKUP(A238, Posts!A:I, 8, FALSE)
</f>
        <v>377</v>
      </c>
    </row>
    <row r="239">
      <c r="A239" s="9" t="s">
        <v>101</v>
      </c>
      <c r="B239" s="11">
        <v>292.0</v>
      </c>
      <c r="C239" s="12" t="s">
        <v>25</v>
      </c>
      <c r="D239" s="16">
        <f>VLOOKUP(A239, Posts!A:H, 7, FALSE)</f>
        <v>3796</v>
      </c>
      <c r="E239" s="16">
        <f>VLOOKUP(A239, Posts!A:I, 8, FALSE)
</f>
        <v>667</v>
      </c>
    </row>
    <row r="240">
      <c r="A240" s="9" t="s">
        <v>102</v>
      </c>
      <c r="B240" s="11">
        <v>176.0</v>
      </c>
      <c r="C240" s="12" t="s">
        <v>38</v>
      </c>
      <c r="D240" s="16">
        <f>VLOOKUP(A240, Posts!A:H, 7, FALSE)</f>
        <v>3371</v>
      </c>
      <c r="E240" s="16">
        <f>VLOOKUP(A240, Posts!A:I, 8, FALSE)
</f>
        <v>106</v>
      </c>
    </row>
    <row r="241">
      <c r="A241" s="9" t="s">
        <v>103</v>
      </c>
      <c r="B241" s="11">
        <v>182.0</v>
      </c>
      <c r="C241" s="12" t="s">
        <v>33</v>
      </c>
      <c r="D241" s="16">
        <f>VLOOKUP(A241, Posts!A:H, 7, FALSE)</f>
        <v>2418</v>
      </c>
      <c r="E241" s="16">
        <f>VLOOKUP(A241, Posts!A:I, 8, FALSE)
</f>
        <v>754</v>
      </c>
    </row>
    <row r="242">
      <c r="A242" s="9" t="s">
        <v>345</v>
      </c>
      <c r="B242" s="11">
        <v>40.0</v>
      </c>
      <c r="C242" s="12" t="s">
        <v>25</v>
      </c>
      <c r="D242" s="16">
        <f>VLOOKUP(A242, Posts!A:H, 7, FALSE)</f>
        <v>2719</v>
      </c>
      <c r="E242" s="16">
        <f>VLOOKUP(A242, Posts!A:I, 8, FALSE)
</f>
        <v>17</v>
      </c>
    </row>
    <row r="243">
      <c r="A243" s="9" t="s">
        <v>346</v>
      </c>
      <c r="B243" s="11">
        <v>12.0</v>
      </c>
      <c r="C243" s="12" t="s">
        <v>38</v>
      </c>
      <c r="D243" s="16">
        <f>VLOOKUP(A243, Posts!A:H, 7, FALSE)</f>
        <v>4450</v>
      </c>
      <c r="E243" s="16">
        <f>VLOOKUP(A243, Posts!A:I, 8, FALSE)
</f>
        <v>983</v>
      </c>
    </row>
    <row r="244">
      <c r="A244" s="9" t="s">
        <v>283</v>
      </c>
      <c r="B244" s="11">
        <v>119.0</v>
      </c>
      <c r="C244" s="12" t="s">
        <v>25</v>
      </c>
      <c r="D244" s="16">
        <f>VLOOKUP(A244, Posts!A:H, 7, FALSE)</f>
        <v>1950</v>
      </c>
      <c r="E244" s="16">
        <f>VLOOKUP(A244, Posts!A:I, 8, FALSE)
</f>
        <v>295</v>
      </c>
    </row>
    <row r="245">
      <c r="A245" s="9" t="s">
        <v>104</v>
      </c>
      <c r="B245" s="11">
        <v>251.0</v>
      </c>
      <c r="C245" s="12" t="s">
        <v>38</v>
      </c>
      <c r="D245" s="16">
        <f>VLOOKUP(A245, Posts!A:H, 7, FALSE)</f>
        <v>3813</v>
      </c>
      <c r="E245" s="16">
        <f>VLOOKUP(A245, Posts!A:I, 8, FALSE)
</f>
        <v>935</v>
      </c>
    </row>
    <row r="246">
      <c r="A246" s="9" t="s">
        <v>105</v>
      </c>
      <c r="B246" s="11">
        <v>129.0</v>
      </c>
      <c r="C246" s="12" t="s">
        <v>38</v>
      </c>
      <c r="D246" s="16">
        <f>VLOOKUP(A246, Posts!A:H, 7, FALSE)</f>
        <v>2751</v>
      </c>
      <c r="E246" s="16">
        <f>VLOOKUP(A246, Posts!A:I, 8, FALSE)
</f>
        <v>33</v>
      </c>
    </row>
    <row r="247">
      <c r="A247" s="9" t="s">
        <v>106</v>
      </c>
      <c r="B247" s="11">
        <v>249.0</v>
      </c>
      <c r="C247" s="12" t="s">
        <v>38</v>
      </c>
      <c r="D247" s="16">
        <f>VLOOKUP(A247, Posts!A:H, 7, FALSE)</f>
        <v>2382</v>
      </c>
      <c r="E247" s="16">
        <f>VLOOKUP(A247, Posts!A:I, 8, FALSE)
</f>
        <v>265</v>
      </c>
    </row>
    <row r="248">
      <c r="A248" s="9" t="s">
        <v>107</v>
      </c>
      <c r="B248" s="11">
        <v>246.0</v>
      </c>
      <c r="C248" s="12" t="s">
        <v>33</v>
      </c>
      <c r="D248" s="16">
        <f>VLOOKUP(A248, Posts!A:H, 7, FALSE)</f>
        <v>3073</v>
      </c>
      <c r="E248" s="16">
        <f>VLOOKUP(A248, Posts!A:I, 8, FALSE)
</f>
        <v>553</v>
      </c>
    </row>
    <row r="249">
      <c r="A249" s="9" t="s">
        <v>284</v>
      </c>
      <c r="B249" s="11">
        <v>43.0</v>
      </c>
      <c r="C249" s="12" t="s">
        <v>38</v>
      </c>
      <c r="D249" s="16">
        <f>VLOOKUP(A249, Posts!A:H, 7, FALSE)</f>
        <v>4725</v>
      </c>
      <c r="E249" s="16">
        <f>VLOOKUP(A249, Posts!A:I, 8, FALSE)
</f>
        <v>400</v>
      </c>
    </row>
    <row r="250">
      <c r="A250" s="9" t="s">
        <v>108</v>
      </c>
      <c r="B250" s="11">
        <v>192.0</v>
      </c>
      <c r="C250" s="12" t="s">
        <v>25</v>
      </c>
      <c r="D250" s="16">
        <f>VLOOKUP(A250, Posts!A:H, 7, FALSE)</f>
        <v>3360</v>
      </c>
      <c r="E250" s="16">
        <f>VLOOKUP(A250, Posts!A:I, 8, FALSE)
</f>
        <v>525</v>
      </c>
    </row>
    <row r="251">
      <c r="A251" s="9" t="s">
        <v>109</v>
      </c>
      <c r="B251" s="11">
        <v>92.0</v>
      </c>
      <c r="C251" s="12" t="s">
        <v>25</v>
      </c>
      <c r="D251" s="16">
        <f>VLOOKUP(A251, Posts!A:H, 7, FALSE)</f>
        <v>3564</v>
      </c>
      <c r="E251" s="16">
        <f>VLOOKUP(A251, Posts!A:I, 8, FALSE)
</f>
        <v>629</v>
      </c>
    </row>
    <row r="252">
      <c r="A252" s="9" t="s">
        <v>110</v>
      </c>
      <c r="B252" s="11">
        <v>89.0</v>
      </c>
      <c r="C252" s="12" t="s">
        <v>33</v>
      </c>
      <c r="D252" s="16">
        <f>VLOOKUP(A252, Posts!A:H, 7, FALSE)</f>
        <v>4872</v>
      </c>
      <c r="E252" s="16">
        <f>VLOOKUP(A252, Posts!A:I, 8, FALSE)
</f>
        <v>925</v>
      </c>
    </row>
    <row r="253">
      <c r="A253" s="9" t="s">
        <v>111</v>
      </c>
      <c r="B253" s="11">
        <v>161.0</v>
      </c>
      <c r="C253" s="12" t="s">
        <v>38</v>
      </c>
      <c r="D253" s="16">
        <f>VLOOKUP(A253, Posts!A:H, 7, FALSE)</f>
        <v>3961</v>
      </c>
      <c r="E253" s="16">
        <f>VLOOKUP(A253, Posts!A:I, 8, FALSE)
</f>
        <v>761</v>
      </c>
    </row>
    <row r="254">
      <c r="A254" s="9" t="s">
        <v>347</v>
      </c>
      <c r="B254" s="11">
        <v>173.0</v>
      </c>
      <c r="C254" s="12" t="s">
        <v>38</v>
      </c>
      <c r="D254" s="16">
        <f>VLOOKUP(A254, Posts!A:H, 7, FALSE)</f>
        <v>4171</v>
      </c>
      <c r="E254" s="16">
        <f>VLOOKUP(A254, Posts!A:I, 8, FALSE)
</f>
        <v>548</v>
      </c>
    </row>
    <row r="255">
      <c r="A255" s="9" t="s">
        <v>112</v>
      </c>
      <c r="B255" s="11">
        <v>167.0</v>
      </c>
      <c r="C255" s="12" t="s">
        <v>25</v>
      </c>
      <c r="D255" s="16">
        <f>VLOOKUP(A255, Posts!A:H, 7, FALSE)</f>
        <v>4241</v>
      </c>
      <c r="E255" s="16">
        <f>VLOOKUP(A255, Posts!A:I, 8, FALSE)
</f>
        <v>902</v>
      </c>
    </row>
    <row r="256">
      <c r="A256" s="9" t="s">
        <v>113</v>
      </c>
      <c r="B256" s="11">
        <v>35.0</v>
      </c>
      <c r="C256" s="12" t="s">
        <v>33</v>
      </c>
      <c r="D256" s="16">
        <f>VLOOKUP(A256, Posts!A:H, 7, FALSE)</f>
        <v>4663</v>
      </c>
      <c r="E256" s="16">
        <f>VLOOKUP(A256, Posts!A:I, 8, FALSE)
</f>
        <v>145</v>
      </c>
    </row>
    <row r="257">
      <c r="A257" s="9" t="s">
        <v>114</v>
      </c>
      <c r="B257" s="11">
        <v>25.0</v>
      </c>
      <c r="C257" s="12" t="s">
        <v>25</v>
      </c>
      <c r="D257" s="16">
        <f>VLOOKUP(A257, Posts!A:H, 7, FALSE)</f>
        <v>2072</v>
      </c>
      <c r="E257" s="16">
        <f>VLOOKUP(A257, Posts!A:I, 8, FALSE)
</f>
        <v>532</v>
      </c>
    </row>
    <row r="258">
      <c r="A258" s="9" t="s">
        <v>348</v>
      </c>
      <c r="B258" s="11">
        <v>51.0</v>
      </c>
      <c r="C258" s="12" t="s">
        <v>38</v>
      </c>
      <c r="D258" s="16">
        <f>VLOOKUP(A258, Posts!A:H, 7, FALSE)</f>
        <v>2076</v>
      </c>
      <c r="E258" s="16">
        <f>VLOOKUP(A258, Posts!A:I, 8, FALSE)
</f>
        <v>195</v>
      </c>
    </row>
    <row r="259">
      <c r="A259" s="9" t="s">
        <v>285</v>
      </c>
      <c r="B259" s="11">
        <v>103.0</v>
      </c>
      <c r="C259" s="12" t="s">
        <v>25</v>
      </c>
      <c r="D259" s="16">
        <f>VLOOKUP(A259, Posts!A:H, 7, FALSE)</f>
        <v>3731</v>
      </c>
      <c r="E259" s="16">
        <f>VLOOKUP(A259, Posts!A:I, 8, FALSE)
</f>
        <v>115</v>
      </c>
    </row>
    <row r="260">
      <c r="A260" s="9" t="s">
        <v>204</v>
      </c>
      <c r="B260" s="11">
        <v>297.0</v>
      </c>
      <c r="C260" s="12" t="s">
        <v>25</v>
      </c>
      <c r="D260" s="16">
        <f>VLOOKUP(A260, Posts!A:H, 7, FALSE)</f>
        <v>3861</v>
      </c>
      <c r="E260" s="16">
        <f>VLOOKUP(A260, Posts!A:I, 8, FALSE)
</f>
        <v>960</v>
      </c>
    </row>
    <row r="261">
      <c r="A261" s="9" t="s">
        <v>115</v>
      </c>
      <c r="B261" s="11">
        <v>215.0</v>
      </c>
      <c r="C261" s="12" t="s">
        <v>25</v>
      </c>
      <c r="D261" s="16">
        <f>VLOOKUP(A261, Posts!A:H, 7, FALSE)</f>
        <v>1652</v>
      </c>
      <c r="E261" s="16">
        <f>VLOOKUP(A261, Posts!A:I, 8, FALSE)
</f>
        <v>89</v>
      </c>
    </row>
    <row r="262">
      <c r="A262" s="9" t="s">
        <v>286</v>
      </c>
      <c r="B262" s="11">
        <v>235.0</v>
      </c>
      <c r="C262" s="12" t="s">
        <v>25</v>
      </c>
      <c r="D262" s="16">
        <f>VLOOKUP(A262, Posts!A:H, 7, FALSE)</f>
        <v>3860</v>
      </c>
      <c r="E262" s="16">
        <f>VLOOKUP(A262, Posts!A:I, 8, FALSE)
</f>
        <v>201</v>
      </c>
    </row>
    <row r="263">
      <c r="A263" s="9" t="s">
        <v>349</v>
      </c>
      <c r="B263" s="11">
        <v>114.0</v>
      </c>
      <c r="C263" s="12" t="s">
        <v>38</v>
      </c>
      <c r="D263" s="16">
        <f>VLOOKUP(A263, Posts!A:H, 7, FALSE)</f>
        <v>2070</v>
      </c>
      <c r="E263" s="16">
        <f>VLOOKUP(A263, Posts!A:I, 8, FALSE)
</f>
        <v>275</v>
      </c>
    </row>
    <row r="264">
      <c r="A264" s="9" t="s">
        <v>116</v>
      </c>
      <c r="B264" s="11">
        <v>158.0</v>
      </c>
      <c r="C264" s="12" t="s">
        <v>38</v>
      </c>
      <c r="D264" s="16">
        <f>VLOOKUP(A264, Posts!A:H, 7, FALSE)</f>
        <v>3452</v>
      </c>
      <c r="E264" s="16">
        <f>VLOOKUP(A264, Posts!A:I, 8, FALSE)
</f>
        <v>652</v>
      </c>
    </row>
    <row r="265">
      <c r="A265" s="9" t="s">
        <v>287</v>
      </c>
      <c r="B265" s="11">
        <v>53.0</v>
      </c>
      <c r="C265" s="12" t="s">
        <v>25</v>
      </c>
      <c r="D265" s="16">
        <f>VLOOKUP(A265, Posts!A:H, 7, FALSE)</f>
        <v>3577</v>
      </c>
      <c r="E265" s="16">
        <f>VLOOKUP(A265, Posts!A:I, 8, FALSE)
</f>
        <v>596</v>
      </c>
    </row>
    <row r="266">
      <c r="A266" s="9" t="s">
        <v>205</v>
      </c>
      <c r="B266" s="11">
        <v>163.0</v>
      </c>
      <c r="C266" s="12" t="s">
        <v>38</v>
      </c>
      <c r="D266" s="16">
        <f>VLOOKUP(A266, Posts!A:H, 7, FALSE)</f>
        <v>3182</v>
      </c>
      <c r="E266" s="16">
        <f>VLOOKUP(A266, Posts!A:I, 8, FALSE)
</f>
        <v>559</v>
      </c>
    </row>
    <row r="267">
      <c r="A267" s="9" t="s">
        <v>350</v>
      </c>
      <c r="B267" s="11">
        <v>262.0</v>
      </c>
      <c r="C267" s="12" t="s">
        <v>38</v>
      </c>
      <c r="D267" s="16">
        <f>VLOOKUP(A267, Posts!A:H, 7, FALSE)</f>
        <v>4780</v>
      </c>
      <c r="E267" s="16">
        <f>VLOOKUP(A267, Posts!A:I, 8, FALSE)
</f>
        <v>691</v>
      </c>
    </row>
    <row r="268">
      <c r="A268" s="9" t="s">
        <v>206</v>
      </c>
      <c r="B268" s="11">
        <v>76.0</v>
      </c>
      <c r="C268" s="12" t="s">
        <v>38</v>
      </c>
      <c r="D268" s="16">
        <f>VLOOKUP(A268, Posts!A:H, 7, FALSE)</f>
        <v>3770</v>
      </c>
      <c r="E268" s="16">
        <f>VLOOKUP(A268, Posts!A:I, 8, FALSE)
</f>
        <v>917</v>
      </c>
    </row>
    <row r="269">
      <c r="A269" s="9" t="s">
        <v>351</v>
      </c>
      <c r="B269" s="11">
        <v>241.0</v>
      </c>
      <c r="C269" s="12" t="s">
        <v>25</v>
      </c>
      <c r="D269" s="16">
        <f>VLOOKUP(A269, Posts!A:H, 7, FALSE)</f>
        <v>3774</v>
      </c>
      <c r="E269" s="16">
        <f>VLOOKUP(A269, Posts!A:I, 8, FALSE)
</f>
        <v>239</v>
      </c>
    </row>
    <row r="270">
      <c r="A270" s="9" t="s">
        <v>352</v>
      </c>
      <c r="B270" s="11">
        <v>224.0</v>
      </c>
      <c r="C270" s="12" t="s">
        <v>33</v>
      </c>
      <c r="D270" s="16">
        <f>VLOOKUP(A270, Posts!A:H, 7, FALSE)</f>
        <v>3557</v>
      </c>
      <c r="E270" s="16">
        <f>VLOOKUP(A270, Posts!A:I, 8, FALSE)
</f>
        <v>687</v>
      </c>
    </row>
    <row r="271">
      <c r="A271" s="9" t="s">
        <v>353</v>
      </c>
      <c r="B271" s="11">
        <v>242.0</v>
      </c>
      <c r="C271" s="12" t="s">
        <v>33</v>
      </c>
      <c r="D271" s="16">
        <f>VLOOKUP(A271, Posts!A:H, 7, FALSE)</f>
        <v>3428</v>
      </c>
      <c r="E271" s="16">
        <f>VLOOKUP(A271, Posts!A:I, 8, FALSE)
</f>
        <v>305</v>
      </c>
    </row>
    <row r="272">
      <c r="A272" s="9" t="s">
        <v>354</v>
      </c>
      <c r="B272" s="11">
        <v>66.0</v>
      </c>
      <c r="C272" s="12" t="s">
        <v>33</v>
      </c>
      <c r="D272" s="16">
        <f>VLOOKUP(A272, Posts!A:H, 7, FALSE)</f>
        <v>4929</v>
      </c>
      <c r="E272" s="16">
        <f>VLOOKUP(A272, Posts!A:I, 8, FALSE)
</f>
        <v>749</v>
      </c>
    </row>
    <row r="273">
      <c r="A273" s="9" t="s">
        <v>288</v>
      </c>
      <c r="B273" s="11">
        <v>19.0</v>
      </c>
      <c r="C273" s="12" t="s">
        <v>33</v>
      </c>
      <c r="D273" s="16">
        <f>VLOOKUP(A273, Posts!A:H, 7, FALSE)</f>
        <v>4782</v>
      </c>
      <c r="E273" s="16">
        <f>VLOOKUP(A273, Posts!A:I, 8, FALSE)
</f>
        <v>721</v>
      </c>
    </row>
    <row r="274">
      <c r="A274" s="9" t="s">
        <v>117</v>
      </c>
      <c r="B274" s="11">
        <v>272.0</v>
      </c>
      <c r="C274" s="12" t="s">
        <v>38</v>
      </c>
      <c r="D274" s="16">
        <f>VLOOKUP(A274, Posts!A:H, 7, FALSE)</f>
        <v>4213</v>
      </c>
      <c r="E274" s="16">
        <f>VLOOKUP(A274, Posts!A:I, 8, FALSE)
</f>
        <v>253</v>
      </c>
    </row>
    <row r="275">
      <c r="A275" s="9" t="s">
        <v>118</v>
      </c>
      <c r="B275" s="11">
        <v>88.0</v>
      </c>
      <c r="C275" s="12" t="s">
        <v>38</v>
      </c>
      <c r="D275" s="16">
        <f>VLOOKUP(A275, Posts!A:H, 7, FALSE)</f>
        <v>4126</v>
      </c>
      <c r="E275" s="16">
        <f>VLOOKUP(A275, Posts!A:I, 8, FALSE)
</f>
        <v>426</v>
      </c>
    </row>
    <row r="276">
      <c r="A276" s="9" t="s">
        <v>289</v>
      </c>
      <c r="B276" s="11">
        <v>62.0</v>
      </c>
      <c r="C276" s="12" t="s">
        <v>38</v>
      </c>
      <c r="D276" s="16">
        <f>VLOOKUP(A276, Posts!A:H, 7, FALSE)</f>
        <v>4187</v>
      </c>
      <c r="E276" s="16">
        <f>VLOOKUP(A276, Posts!A:I, 8, FALSE)
</f>
        <v>66</v>
      </c>
    </row>
    <row r="277">
      <c r="A277" s="9" t="s">
        <v>207</v>
      </c>
      <c r="B277" s="11">
        <v>25.0</v>
      </c>
      <c r="C277" s="12" t="s">
        <v>25</v>
      </c>
      <c r="D277" s="16">
        <f>VLOOKUP(A277, Posts!A:H, 7, FALSE)</f>
        <v>4054</v>
      </c>
      <c r="E277" s="16">
        <f>VLOOKUP(A277, Posts!A:I, 8, FALSE)
</f>
        <v>488</v>
      </c>
    </row>
    <row r="278">
      <c r="A278" s="9" t="s">
        <v>119</v>
      </c>
      <c r="B278" s="11">
        <v>100.0</v>
      </c>
      <c r="C278" s="12" t="s">
        <v>33</v>
      </c>
      <c r="D278" s="16">
        <f>VLOOKUP(A278, Posts!A:H, 7, FALSE)</f>
        <v>4712</v>
      </c>
      <c r="E278" s="16">
        <f>VLOOKUP(A278, Posts!A:I, 8, FALSE)
</f>
        <v>568</v>
      </c>
    </row>
    <row r="279">
      <c r="A279" s="9" t="s">
        <v>355</v>
      </c>
      <c r="B279" s="11">
        <v>290.0</v>
      </c>
      <c r="C279" s="12" t="s">
        <v>25</v>
      </c>
      <c r="D279" s="16">
        <f>VLOOKUP(A279, Posts!A:H, 7, FALSE)</f>
        <v>4295</v>
      </c>
      <c r="E279" s="16">
        <f>VLOOKUP(A279, Posts!A:I, 8, FALSE)
</f>
        <v>853</v>
      </c>
    </row>
    <row r="280">
      <c r="A280" s="9" t="s">
        <v>356</v>
      </c>
      <c r="B280" s="11">
        <v>135.0</v>
      </c>
      <c r="C280" s="12" t="s">
        <v>33</v>
      </c>
      <c r="D280" s="16">
        <f>VLOOKUP(A280, Posts!A:H, 7, FALSE)</f>
        <v>3166</v>
      </c>
      <c r="E280" s="16">
        <f>VLOOKUP(A280, Posts!A:I, 8, FALSE)
</f>
        <v>90</v>
      </c>
    </row>
    <row r="281">
      <c r="A281" s="9" t="s">
        <v>120</v>
      </c>
      <c r="B281" s="11">
        <v>56.0</v>
      </c>
      <c r="C281" s="12" t="s">
        <v>25</v>
      </c>
      <c r="D281" s="16">
        <f>VLOOKUP(A281, Posts!A:H, 7, FALSE)</f>
        <v>4606</v>
      </c>
      <c r="E281" s="16">
        <f>VLOOKUP(A281, Posts!A:I, 8, FALSE)
</f>
        <v>931</v>
      </c>
    </row>
    <row r="282">
      <c r="A282" s="9" t="s">
        <v>121</v>
      </c>
      <c r="B282" s="11">
        <v>233.0</v>
      </c>
      <c r="C282" s="12" t="s">
        <v>25</v>
      </c>
      <c r="D282" s="16">
        <f>VLOOKUP(A282, Posts!A:H, 7, FALSE)</f>
        <v>3718</v>
      </c>
      <c r="E282" s="16">
        <f>VLOOKUP(A282, Posts!A:I, 8, FALSE)
</f>
        <v>385</v>
      </c>
    </row>
    <row r="283">
      <c r="A283" s="9" t="s">
        <v>357</v>
      </c>
      <c r="B283" s="11">
        <v>182.0</v>
      </c>
      <c r="C283" s="12" t="s">
        <v>25</v>
      </c>
      <c r="D283" s="16">
        <f>VLOOKUP(A283, Posts!A:H, 7, FALSE)</f>
        <v>4832</v>
      </c>
      <c r="E283" s="16">
        <f>VLOOKUP(A283, Posts!A:I, 8, FALSE)
</f>
        <v>893</v>
      </c>
    </row>
    <row r="284">
      <c r="A284" s="9" t="s">
        <v>290</v>
      </c>
      <c r="B284" s="11">
        <v>242.0</v>
      </c>
      <c r="C284" s="12" t="s">
        <v>25</v>
      </c>
      <c r="D284" s="16">
        <f>VLOOKUP(A284, Posts!A:H, 7, FALSE)</f>
        <v>2493</v>
      </c>
      <c r="E284" s="16">
        <f>VLOOKUP(A284, Posts!A:I, 8, FALSE)
</f>
        <v>97</v>
      </c>
    </row>
    <row r="285">
      <c r="A285" s="9" t="s">
        <v>291</v>
      </c>
      <c r="B285" s="11">
        <v>252.0</v>
      </c>
      <c r="C285" s="12" t="s">
        <v>25</v>
      </c>
      <c r="D285" s="16">
        <f>VLOOKUP(A285, Posts!A:H, 7, FALSE)</f>
        <v>3338</v>
      </c>
      <c r="E285" s="16">
        <f>VLOOKUP(A285, Posts!A:I, 8, FALSE)
</f>
        <v>277</v>
      </c>
    </row>
    <row r="286">
      <c r="A286" s="9" t="s">
        <v>358</v>
      </c>
      <c r="B286" s="11">
        <v>279.0</v>
      </c>
      <c r="C286" s="12" t="s">
        <v>25</v>
      </c>
      <c r="D286" s="16">
        <f>VLOOKUP(A286, Posts!A:H, 7, FALSE)</f>
        <v>4905</v>
      </c>
      <c r="E286" s="16">
        <f>VLOOKUP(A286, Posts!A:I, 8, FALSE)
</f>
        <v>845</v>
      </c>
    </row>
    <row r="287">
      <c r="A287" s="9" t="s">
        <v>292</v>
      </c>
      <c r="B287" s="11">
        <v>238.0</v>
      </c>
      <c r="C287" s="12" t="s">
        <v>33</v>
      </c>
      <c r="D287" s="16">
        <f>VLOOKUP(A287, Posts!A:H, 7, FALSE)</f>
        <v>3128</v>
      </c>
      <c r="E287" s="16">
        <f>VLOOKUP(A287, Posts!A:I, 8, FALSE)
</f>
        <v>211</v>
      </c>
    </row>
    <row r="288">
      <c r="A288" s="9" t="s">
        <v>122</v>
      </c>
      <c r="B288" s="11">
        <v>20.0</v>
      </c>
      <c r="C288" s="12" t="s">
        <v>38</v>
      </c>
      <c r="D288" s="16">
        <f>VLOOKUP(A288, Posts!A:H, 7, FALSE)</f>
        <v>3888</v>
      </c>
      <c r="E288" s="16">
        <f>VLOOKUP(A288, Posts!A:I, 8, FALSE)
</f>
        <v>604</v>
      </c>
    </row>
    <row r="289">
      <c r="A289" s="9" t="s">
        <v>293</v>
      </c>
      <c r="B289" s="11">
        <v>210.0</v>
      </c>
      <c r="C289" s="12" t="s">
        <v>25</v>
      </c>
      <c r="D289" s="16">
        <f>VLOOKUP(A289, Posts!A:H, 7, FALSE)</f>
        <v>3440</v>
      </c>
      <c r="E289" s="16">
        <f>VLOOKUP(A289, Posts!A:I, 8, FALSE)
</f>
        <v>13</v>
      </c>
    </row>
    <row r="290">
      <c r="A290" s="9" t="s">
        <v>123</v>
      </c>
      <c r="B290" s="11">
        <v>14.0</v>
      </c>
      <c r="C290" s="12" t="s">
        <v>25</v>
      </c>
      <c r="D290" s="16">
        <f>VLOOKUP(A290, Posts!A:H, 7, FALSE)</f>
        <v>4303</v>
      </c>
      <c r="E290" s="16">
        <f>VLOOKUP(A290, Posts!A:I, 8, FALSE)
</f>
        <v>451</v>
      </c>
    </row>
    <row r="291">
      <c r="A291" s="9" t="s">
        <v>359</v>
      </c>
      <c r="B291" s="11">
        <v>119.0</v>
      </c>
      <c r="C291" s="12" t="s">
        <v>33</v>
      </c>
      <c r="D291" s="16">
        <f>VLOOKUP(A291, Posts!A:H, 7, FALSE)</f>
        <v>1509</v>
      </c>
      <c r="E291" s="16">
        <f>VLOOKUP(A291, Posts!A:I, 8, FALSE)
</f>
        <v>88</v>
      </c>
    </row>
    <row r="292">
      <c r="A292" s="9" t="s">
        <v>294</v>
      </c>
      <c r="B292" s="11">
        <v>157.0</v>
      </c>
      <c r="C292" s="12" t="s">
        <v>38</v>
      </c>
      <c r="D292" s="16">
        <f>VLOOKUP(A292, Posts!A:H, 7, FALSE)</f>
        <v>3367</v>
      </c>
      <c r="E292" s="16">
        <f>VLOOKUP(A292, Posts!A:I, 8, FALSE)
</f>
        <v>302</v>
      </c>
    </row>
    <row r="293">
      <c r="A293" s="9" t="s">
        <v>360</v>
      </c>
      <c r="B293" s="11">
        <v>248.0</v>
      </c>
      <c r="C293" s="12" t="s">
        <v>33</v>
      </c>
      <c r="D293" s="16">
        <f>VLOOKUP(A293, Posts!A:H, 7, FALSE)</f>
        <v>2143</v>
      </c>
      <c r="E293" s="16">
        <f>VLOOKUP(A293, Posts!A:I, 8, FALSE)
</f>
        <v>12</v>
      </c>
    </row>
    <row r="294">
      <c r="A294" s="9" t="s">
        <v>208</v>
      </c>
      <c r="B294" s="11">
        <v>93.0</v>
      </c>
      <c r="C294" s="12" t="s">
        <v>33</v>
      </c>
      <c r="D294" s="16">
        <f>VLOOKUP(A294, Posts!A:H, 7, FALSE)</f>
        <v>3095</v>
      </c>
      <c r="E294" s="16">
        <f>VLOOKUP(A294, Posts!A:I, 8, FALSE)
</f>
        <v>39</v>
      </c>
    </row>
    <row r="295">
      <c r="A295" s="9" t="s">
        <v>209</v>
      </c>
      <c r="B295" s="11">
        <v>286.0</v>
      </c>
      <c r="C295" s="12" t="s">
        <v>38</v>
      </c>
      <c r="D295" s="16">
        <f>VLOOKUP(A295, Posts!A:H, 7, FALSE)</f>
        <v>3773</v>
      </c>
      <c r="E295" s="16">
        <f>VLOOKUP(A295, Posts!A:I, 8, FALSE)
</f>
        <v>299</v>
      </c>
    </row>
    <row r="296">
      <c r="A296" s="9" t="s">
        <v>295</v>
      </c>
      <c r="B296" s="11">
        <v>118.0</v>
      </c>
      <c r="C296" s="12" t="s">
        <v>33</v>
      </c>
      <c r="D296" s="16">
        <f>VLOOKUP(A296, Posts!A:H, 7, FALSE)</f>
        <v>4672</v>
      </c>
      <c r="E296" s="16">
        <f>VLOOKUP(A296, Posts!A:I, 8, FALSE)
</f>
        <v>325</v>
      </c>
    </row>
    <row r="297">
      <c r="A297" s="9" t="s">
        <v>210</v>
      </c>
      <c r="B297" s="11">
        <v>142.0</v>
      </c>
      <c r="C297" s="12" t="s">
        <v>25</v>
      </c>
      <c r="D297" s="16">
        <f>VLOOKUP(A297, Posts!A:H, 7, FALSE)</f>
        <v>1878</v>
      </c>
      <c r="E297" s="16">
        <f>VLOOKUP(A297, Posts!A:I, 8, FALSE)
</f>
        <v>62</v>
      </c>
    </row>
    <row r="298">
      <c r="A298" s="9" t="s">
        <v>361</v>
      </c>
      <c r="B298" s="11">
        <v>145.0</v>
      </c>
      <c r="C298" s="12" t="s">
        <v>38</v>
      </c>
      <c r="D298" s="16">
        <f>VLOOKUP(A298, Posts!A:H, 7, FALSE)</f>
        <v>1963</v>
      </c>
      <c r="E298" s="16">
        <f>VLOOKUP(A298, Posts!A:I, 8, FALSE)
</f>
        <v>213</v>
      </c>
    </row>
    <row r="299">
      <c r="A299" s="9" t="s">
        <v>362</v>
      </c>
      <c r="B299" s="11">
        <v>204.0</v>
      </c>
      <c r="C299" s="12" t="s">
        <v>25</v>
      </c>
      <c r="D299" s="16">
        <f>VLOOKUP(A299, Posts!A:H, 7, FALSE)</f>
        <v>2795</v>
      </c>
      <c r="E299" s="16">
        <f>VLOOKUP(A299, Posts!A:I, 8, FALSE)
</f>
        <v>105</v>
      </c>
    </row>
    <row r="300">
      <c r="A300" s="9" t="s">
        <v>124</v>
      </c>
      <c r="B300" s="11">
        <v>266.0</v>
      </c>
      <c r="C300" s="12" t="s">
        <v>25</v>
      </c>
      <c r="D300" s="16">
        <f>VLOOKUP(A300, Posts!A:H, 7, FALSE)</f>
        <v>3798</v>
      </c>
      <c r="E300" s="16">
        <f>VLOOKUP(A300, Posts!A:I, 8, FALSE)
</f>
        <v>31</v>
      </c>
    </row>
    <row r="301">
      <c r="A301" s="9" t="s">
        <v>296</v>
      </c>
      <c r="B301" s="11">
        <v>125.0</v>
      </c>
      <c r="C301" s="12" t="s">
        <v>38</v>
      </c>
      <c r="D301" s="16">
        <f>VLOOKUP(A301, Posts!A:H, 7, FALSE)</f>
        <v>4507</v>
      </c>
      <c r="E301" s="16">
        <f>VLOOKUP(A301, Posts!A:I, 8, FALSE)
</f>
        <v>217</v>
      </c>
    </row>
    <row r="302">
      <c r="A302" s="9" t="s">
        <v>302</v>
      </c>
      <c r="B302" s="11">
        <v>11.0</v>
      </c>
      <c r="C302" s="12" t="s">
        <v>77</v>
      </c>
      <c r="D302" s="16">
        <f>VLOOKUP(A302, Posts!A:H, 7, FALSE)</f>
        <v>804</v>
      </c>
      <c r="E302" s="16">
        <f>VLOOKUP(A302, Posts!A:I, 8, FALSE)
</f>
        <v>639</v>
      </c>
    </row>
    <row r="303">
      <c r="A303" s="9" t="s">
        <v>311</v>
      </c>
      <c r="B303" s="11">
        <v>200.0</v>
      </c>
      <c r="C303" s="12" t="s">
        <v>67</v>
      </c>
      <c r="D303" s="16">
        <f>VLOOKUP(A303, Posts!A:H, 7, FALSE)</f>
        <v>3065</v>
      </c>
      <c r="E303" s="16">
        <f>VLOOKUP(A303, Posts!A:I, 8, FALSE)
</f>
        <v>772</v>
      </c>
    </row>
    <row r="304">
      <c r="A304" s="9" t="s">
        <v>239</v>
      </c>
      <c r="B304" s="11">
        <v>235.0</v>
      </c>
      <c r="C304" s="12" t="s">
        <v>25</v>
      </c>
      <c r="D304" s="16">
        <f>VLOOKUP(A304, Posts!A:H, 7, FALSE)</f>
        <v>1952</v>
      </c>
      <c r="E304" s="16">
        <f>VLOOKUP(A304, Posts!A:I, 8, FALSE)
</f>
        <v>344</v>
      </c>
    </row>
    <row r="305">
      <c r="A305" s="9" t="s">
        <v>161</v>
      </c>
      <c r="B305" s="11">
        <v>84.0</v>
      </c>
      <c r="C305" s="12" t="s">
        <v>25</v>
      </c>
      <c r="D305" s="16">
        <f>VLOOKUP(A305, Posts!A:H, 7, FALSE)</f>
        <v>904</v>
      </c>
      <c r="E305" s="16">
        <f>VLOOKUP(A305, Posts!A:I, 8, FALSE)
</f>
        <v>973</v>
      </c>
    </row>
    <row r="306">
      <c r="A306" s="9" t="s">
        <v>60</v>
      </c>
      <c r="B306" s="11">
        <v>10.0</v>
      </c>
      <c r="C306" s="12" t="s">
        <v>61</v>
      </c>
      <c r="D306" s="16">
        <f>VLOOKUP(A306, Posts!A:H, 7, FALSE)</f>
        <v>2291</v>
      </c>
      <c r="E306" s="16">
        <f>VLOOKUP(A306, Posts!A:I, 8, FALSE)
</f>
        <v>78</v>
      </c>
    </row>
    <row r="307">
      <c r="A307" s="9" t="s">
        <v>316</v>
      </c>
      <c r="B307" s="11">
        <v>169.0</v>
      </c>
      <c r="C307" s="12" t="s">
        <v>67</v>
      </c>
      <c r="D307" s="16">
        <f>VLOOKUP(A307, Posts!A:H, 7, FALSE)</f>
        <v>4934</v>
      </c>
      <c r="E307" s="16">
        <f>VLOOKUP(A307, Posts!A:I, 8, FALSE)
</f>
        <v>971</v>
      </c>
    </row>
    <row r="308">
      <c r="A308" s="9" t="s">
        <v>244</v>
      </c>
      <c r="B308" s="11">
        <v>129.0</v>
      </c>
      <c r="C308" s="12" t="s">
        <v>61</v>
      </c>
      <c r="D308" s="16">
        <f>VLOOKUP(A308, Posts!A:H, 7, FALSE)</f>
        <v>4274</v>
      </c>
      <c r="E308" s="16">
        <f>VLOOKUP(A308, Posts!A:I, 8, FALSE)
</f>
        <v>340</v>
      </c>
    </row>
    <row r="309">
      <c r="A309" s="9" t="s">
        <v>166</v>
      </c>
      <c r="B309" s="11">
        <v>282.0</v>
      </c>
      <c r="C309" s="12" t="s">
        <v>25</v>
      </c>
      <c r="D309" s="16">
        <f>VLOOKUP(A309, Posts!A:H, 7, FALSE)</f>
        <v>914</v>
      </c>
      <c r="E309" s="16">
        <f>VLOOKUP(A309, Posts!A:I, 8, FALSE)
</f>
        <v>464</v>
      </c>
    </row>
    <row r="310">
      <c r="A310" s="9" t="s">
        <v>66</v>
      </c>
      <c r="B310" s="11">
        <v>194.0</v>
      </c>
      <c r="C310" s="12" t="s">
        <v>67</v>
      </c>
      <c r="D310" s="16">
        <f>VLOOKUP(A310, Posts!A:H, 7, FALSE)</f>
        <v>1257</v>
      </c>
      <c r="E310" s="16">
        <f>VLOOKUP(A310, Posts!A:I, 8, FALSE)
</f>
        <v>19</v>
      </c>
    </row>
    <row r="311">
      <c r="A311" s="9" t="s">
        <v>73</v>
      </c>
      <c r="B311" s="11">
        <v>238.0</v>
      </c>
      <c r="C311" s="12" t="s">
        <v>67</v>
      </c>
      <c r="D311" s="16">
        <f>VLOOKUP(A311, Posts!A:H, 7, FALSE)</f>
        <v>880</v>
      </c>
      <c r="E311" s="16">
        <f>VLOOKUP(A311, Posts!A:I, 8, FALSE)
</f>
        <v>297</v>
      </c>
    </row>
    <row r="312">
      <c r="A312" s="9" t="s">
        <v>76</v>
      </c>
      <c r="B312" s="11">
        <v>208.0</v>
      </c>
      <c r="C312" s="12" t="s">
        <v>33</v>
      </c>
      <c r="D312" s="16">
        <f>VLOOKUP(A312, Posts!A:H, 7, FALSE)</f>
        <v>3960</v>
      </c>
      <c r="E312" s="16">
        <f>VLOOKUP(A312, Posts!A:I, 8, FALSE)
</f>
        <v>266</v>
      </c>
    </row>
    <row r="313">
      <c r="A313" s="9" t="s">
        <v>78</v>
      </c>
      <c r="B313" s="11">
        <v>39.0</v>
      </c>
      <c r="C313" s="12" t="s">
        <v>61</v>
      </c>
      <c r="D313" s="16">
        <f>VLOOKUP(A313, Posts!A:H, 7, FALSE)</f>
        <v>1814</v>
      </c>
      <c r="E313" s="16">
        <f>VLOOKUP(A313, Posts!A:I, 8, FALSE)
</f>
        <v>653</v>
      </c>
    </row>
    <row r="314">
      <c r="A314" s="9" t="s">
        <v>261</v>
      </c>
      <c r="B314" s="11">
        <v>171.0</v>
      </c>
      <c r="C314" s="12" t="s">
        <v>61</v>
      </c>
      <c r="D314" s="16">
        <f>VLOOKUP(A314, Posts!A:H, 7, FALSE)</f>
        <v>3820</v>
      </c>
      <c r="E314" s="16">
        <f>VLOOKUP(A314, Posts!A:I, 8, FALSE)
</f>
        <v>697</v>
      </c>
    </row>
    <row r="315">
      <c r="A315" s="9" t="s">
        <v>269</v>
      </c>
      <c r="B315" s="11">
        <v>15.0</v>
      </c>
      <c r="C315" s="12" t="s">
        <v>67</v>
      </c>
      <c r="D315" s="16">
        <f>VLOOKUP(A315, Posts!A:H, 7, FALSE)</f>
        <v>1461</v>
      </c>
      <c r="E315" s="16">
        <f>VLOOKUP(A315, Posts!A:I, 8, FALSE)
</f>
        <v>184</v>
      </c>
    </row>
    <row r="316">
      <c r="A316" s="9" t="s">
        <v>191</v>
      </c>
      <c r="B316" s="11">
        <v>10.0</v>
      </c>
      <c r="C316" s="12" t="s">
        <v>33</v>
      </c>
      <c r="D316" s="16">
        <f>VLOOKUP(A316, Posts!A:H, 7, FALSE)</f>
        <v>4332</v>
      </c>
      <c r="E316" s="16">
        <f>VLOOKUP(A316, Posts!A:I, 8, FALSE)
</f>
        <v>771</v>
      </c>
    </row>
    <row r="317">
      <c r="A317" s="9" t="s">
        <v>192</v>
      </c>
      <c r="B317" s="11">
        <v>36.0</v>
      </c>
      <c r="C317" s="12" t="s">
        <v>67</v>
      </c>
      <c r="D317" s="16">
        <f>VLOOKUP(A317, Posts!A:H, 7, FALSE)</f>
        <v>4739</v>
      </c>
      <c r="E317" s="16">
        <f>VLOOKUP(A317, Posts!A:I, 8, FALSE)
</f>
        <v>527</v>
      </c>
    </row>
    <row r="318">
      <c r="A318" s="9" t="s">
        <v>273</v>
      </c>
      <c r="B318" s="11">
        <v>145.0</v>
      </c>
      <c r="C318" s="12" t="s">
        <v>25</v>
      </c>
      <c r="D318" s="16">
        <f>VLOOKUP(A318, Posts!A:H, 7, FALSE)</f>
        <v>929</v>
      </c>
      <c r="E318" s="16">
        <f>VLOOKUP(A318, Posts!A:I, 8, FALSE)
</f>
        <v>192</v>
      </c>
    </row>
    <row r="319">
      <c r="A319" s="9" t="s">
        <v>195</v>
      </c>
      <c r="B319" s="11">
        <v>200.0</v>
      </c>
      <c r="C319" s="12" t="s">
        <v>25</v>
      </c>
      <c r="D319" s="16">
        <f>VLOOKUP(A319, Posts!A:H, 7, FALSE)</f>
        <v>725</v>
      </c>
      <c r="E319" s="16">
        <f>VLOOKUP(A319, Posts!A:I, 8, FALSE)
</f>
        <v>88</v>
      </c>
    </row>
    <row r="320">
      <c r="A320" s="9" t="s">
        <v>275</v>
      </c>
      <c r="B320" s="11">
        <v>191.0</v>
      </c>
      <c r="C320" s="12" t="s">
        <v>33</v>
      </c>
      <c r="D320" s="16">
        <f>VLOOKUP(A320, Posts!A:H, 7, FALSE)</f>
        <v>4494</v>
      </c>
      <c r="E320" s="16">
        <f>VLOOKUP(A320, Posts!A:I, 8, FALSE)
</f>
        <v>717</v>
      </c>
    </row>
    <row r="321">
      <c r="A321" s="9" t="s">
        <v>343</v>
      </c>
      <c r="B321" s="11">
        <v>104.0</v>
      </c>
      <c r="C321" s="12" t="s">
        <v>25</v>
      </c>
      <c r="D321" s="16">
        <f>VLOOKUP(A321, Posts!A:H, 7, FALSE)</f>
        <v>4275</v>
      </c>
      <c r="E321" s="16">
        <f>VLOOKUP(A321, Posts!A:I, 8, FALSE)
</f>
        <v>680</v>
      </c>
    </row>
    <row r="322">
      <c r="A322" s="9" t="s">
        <v>276</v>
      </c>
      <c r="B322" s="11">
        <v>49.0</v>
      </c>
      <c r="C322" s="12" t="s">
        <v>67</v>
      </c>
      <c r="D322" s="16">
        <f>VLOOKUP(A322, Posts!A:H, 7, FALSE)</f>
        <v>3160</v>
      </c>
      <c r="E322" s="16">
        <f>VLOOKUP(A322, Posts!A:I, 8, FALSE)
</f>
        <v>204</v>
      </c>
    </row>
    <row r="323">
      <c r="A323" s="9" t="s">
        <v>94</v>
      </c>
      <c r="B323" s="11">
        <v>25.0</v>
      </c>
      <c r="C323" s="12" t="s">
        <v>33</v>
      </c>
      <c r="D323" s="16">
        <f>VLOOKUP(A323, Posts!A:H, 7, FALSE)</f>
        <v>3090</v>
      </c>
      <c r="E323" s="16">
        <f>VLOOKUP(A323, Posts!A:I, 8, FALSE)
</f>
        <v>697</v>
      </c>
    </row>
    <row r="324">
      <c r="A324" s="9" t="s">
        <v>98</v>
      </c>
      <c r="B324" s="11">
        <v>225.0</v>
      </c>
      <c r="C324" s="12" t="s">
        <v>67</v>
      </c>
      <c r="D324" s="16">
        <f>VLOOKUP(A324, Posts!A:H, 7, FALSE)</f>
        <v>1606</v>
      </c>
      <c r="E324" s="16">
        <f>VLOOKUP(A324, Posts!A:I, 8, FALSE)
</f>
        <v>547</v>
      </c>
    </row>
    <row r="325">
      <c r="A325" s="9" t="s">
        <v>282</v>
      </c>
      <c r="B325" s="11">
        <v>117.0</v>
      </c>
      <c r="C325" s="12" t="s">
        <v>77</v>
      </c>
      <c r="D325" s="16">
        <f>VLOOKUP(A325, Posts!A:H, 7, FALSE)</f>
        <v>4054</v>
      </c>
      <c r="E325" s="16">
        <f>VLOOKUP(A325, Posts!A:I, 8, FALSE)
</f>
        <v>389</v>
      </c>
    </row>
    <row r="326">
      <c r="A326" s="9" t="s">
        <v>352</v>
      </c>
      <c r="B326" s="11">
        <v>224.0</v>
      </c>
      <c r="C326" s="12" t="s">
        <v>25</v>
      </c>
      <c r="D326" s="16">
        <f>VLOOKUP(A326, Posts!A:H, 7, FALSE)</f>
        <v>3557</v>
      </c>
      <c r="E326" s="16">
        <f>VLOOKUP(A326, Posts!A:I, 8, FALSE)
</f>
        <v>687</v>
      </c>
    </row>
    <row r="327">
      <c r="A327" s="9" t="s">
        <v>353</v>
      </c>
      <c r="B327" s="11">
        <v>242.0</v>
      </c>
      <c r="C327" s="12" t="s">
        <v>77</v>
      </c>
      <c r="D327" s="16">
        <f>VLOOKUP(A327, Posts!A:H, 7, FALSE)</f>
        <v>3428</v>
      </c>
      <c r="E327" s="16">
        <f>VLOOKUP(A327, Posts!A:I, 8, FALSE)
</f>
        <v>305</v>
      </c>
    </row>
    <row r="328">
      <c r="A328" s="9" t="s">
        <v>290</v>
      </c>
      <c r="B328" s="11">
        <v>242.0</v>
      </c>
      <c r="C328" s="12" t="s">
        <v>67</v>
      </c>
      <c r="D328" s="16">
        <f>VLOOKUP(A328, Posts!A:H, 7, FALSE)</f>
        <v>2493</v>
      </c>
      <c r="E328" s="16">
        <f>VLOOKUP(A328, Posts!A:I, 8, FALSE)
</f>
        <v>97</v>
      </c>
    </row>
    <row r="329">
      <c r="A329" s="9" t="s">
        <v>293</v>
      </c>
      <c r="B329" s="11">
        <v>210.0</v>
      </c>
      <c r="C329" s="12" t="s">
        <v>61</v>
      </c>
      <c r="D329" s="16">
        <f>VLOOKUP(A329, Posts!A:H, 7, FALSE)</f>
        <v>3440</v>
      </c>
      <c r="E329" s="16">
        <f>VLOOKUP(A329, Posts!A:I, 8, FALSE)
</f>
        <v>13</v>
      </c>
    </row>
    <row r="330">
      <c r="A330" s="9" t="s">
        <v>239</v>
      </c>
      <c r="B330" s="11">
        <v>235.0</v>
      </c>
      <c r="C330" s="12" t="s">
        <v>67</v>
      </c>
      <c r="D330" s="16">
        <f>VLOOKUP(A330, Posts!A:H, 7, FALSE)</f>
        <v>1952</v>
      </c>
      <c r="E330" s="16">
        <f>VLOOKUP(A330, Posts!A:I, 8, FALSE)
</f>
        <v>344</v>
      </c>
    </row>
    <row r="331">
      <c r="A331" s="9" t="s">
        <v>161</v>
      </c>
      <c r="B331" s="11">
        <v>84.0</v>
      </c>
      <c r="C331" s="12" t="s">
        <v>67</v>
      </c>
      <c r="D331" s="16">
        <f>VLOOKUP(A331, Posts!A:H, 7, FALSE)</f>
        <v>904</v>
      </c>
      <c r="E331" s="16">
        <f>VLOOKUP(A331, Posts!A:I, 8, FALSE)
</f>
        <v>973</v>
      </c>
    </row>
    <row r="332">
      <c r="A332" s="9" t="s">
        <v>166</v>
      </c>
      <c r="B332" s="11">
        <v>282.0</v>
      </c>
      <c r="C332" s="12" t="s">
        <v>67</v>
      </c>
      <c r="D332" s="16">
        <f>VLOOKUP(A332, Posts!A:H, 7, FALSE)</f>
        <v>914</v>
      </c>
      <c r="E332" s="16">
        <f>VLOOKUP(A332, Posts!A:I, 8, FALSE)
</f>
        <v>464</v>
      </c>
    </row>
    <row r="333">
      <c r="A333" s="9" t="s">
        <v>66</v>
      </c>
      <c r="B333" s="11">
        <v>194.0</v>
      </c>
      <c r="C333" s="12" t="s">
        <v>33</v>
      </c>
      <c r="D333" s="16">
        <f>VLOOKUP(A333, Posts!A:H, 7, FALSE)</f>
        <v>1257</v>
      </c>
      <c r="E333" s="16">
        <f>VLOOKUP(A333, Posts!A:I, 8, FALSE)
</f>
        <v>19</v>
      </c>
    </row>
    <row r="334">
      <c r="A334" s="9" t="s">
        <v>76</v>
      </c>
      <c r="B334" s="11">
        <v>208.0</v>
      </c>
      <c r="C334" s="12" t="s">
        <v>77</v>
      </c>
      <c r="D334" s="16">
        <f>VLOOKUP(A334, Posts!A:H, 7, FALSE)</f>
        <v>3960</v>
      </c>
      <c r="E334" s="16">
        <f>VLOOKUP(A334, Posts!A:I, 8, FALSE)
</f>
        <v>266</v>
      </c>
    </row>
    <row r="335">
      <c r="A335" s="9" t="s">
        <v>191</v>
      </c>
      <c r="B335" s="11">
        <v>10.0</v>
      </c>
      <c r="C335" s="12" t="s">
        <v>77</v>
      </c>
      <c r="D335" s="16">
        <f>VLOOKUP(A335, Posts!A:H, 7, FALSE)</f>
        <v>4332</v>
      </c>
      <c r="E335" s="16">
        <f>VLOOKUP(A335, Posts!A:I, 8, FALSE)
</f>
        <v>771</v>
      </c>
    </row>
    <row r="336">
      <c r="A336" s="9" t="s">
        <v>273</v>
      </c>
      <c r="B336" s="11">
        <v>145.0</v>
      </c>
      <c r="C336" s="12" t="s">
        <v>67</v>
      </c>
      <c r="D336" s="16">
        <f>VLOOKUP(A336, Posts!A:H, 7, FALSE)</f>
        <v>929</v>
      </c>
      <c r="E336" s="16">
        <f>VLOOKUP(A336, Posts!A:I, 8, FALSE)
</f>
        <v>192</v>
      </c>
    </row>
    <row r="337">
      <c r="A337" s="9" t="s">
        <v>195</v>
      </c>
      <c r="B337" s="11">
        <v>200.0</v>
      </c>
      <c r="C337" s="12" t="s">
        <v>67</v>
      </c>
      <c r="D337" s="16">
        <f>VLOOKUP(A337, Posts!A:H, 7, FALSE)</f>
        <v>725</v>
      </c>
      <c r="E337" s="16">
        <f>VLOOKUP(A337, Posts!A:I, 8, FALSE)
</f>
        <v>88</v>
      </c>
    </row>
    <row r="338">
      <c r="A338" s="9" t="s">
        <v>275</v>
      </c>
      <c r="B338" s="11">
        <v>191.0</v>
      </c>
      <c r="C338" s="12" t="s">
        <v>77</v>
      </c>
      <c r="D338" s="16">
        <f>VLOOKUP(A338, Posts!A:H, 7, FALSE)</f>
        <v>4494</v>
      </c>
      <c r="E338" s="16">
        <f>VLOOKUP(A338, Posts!A:I, 8, FALSE)
</f>
        <v>717</v>
      </c>
    </row>
    <row r="339">
      <c r="A339" s="9" t="s">
        <v>343</v>
      </c>
      <c r="B339" s="11">
        <v>104.0</v>
      </c>
      <c r="C339" s="12" t="s">
        <v>67</v>
      </c>
      <c r="D339" s="16">
        <f>VLOOKUP(A339, Posts!A:H, 7, FALSE)</f>
        <v>4275</v>
      </c>
      <c r="E339" s="16">
        <f>VLOOKUP(A339, Posts!A:I, 8, FALSE)
</f>
        <v>680</v>
      </c>
    </row>
    <row r="340">
      <c r="A340" s="9" t="s">
        <v>94</v>
      </c>
      <c r="B340" s="11">
        <v>25.0</v>
      </c>
      <c r="C340" s="12" t="s">
        <v>77</v>
      </c>
      <c r="D340" s="16">
        <f>VLOOKUP(A340, Posts!A:H, 7, FALSE)</f>
        <v>3090</v>
      </c>
      <c r="E340" s="16">
        <f>VLOOKUP(A340, Posts!A:I, 8, FALSE)
</f>
        <v>697</v>
      </c>
    </row>
    <row r="341">
      <c r="B341" s="16"/>
    </row>
    <row r="342">
      <c r="B342" s="16"/>
    </row>
    <row r="343">
      <c r="B343" s="16"/>
    </row>
    <row r="344">
      <c r="B344" s="16"/>
    </row>
    <row r="345">
      <c r="B345" s="16"/>
    </row>
    <row r="346">
      <c r="B346" s="16"/>
    </row>
    <row r="347">
      <c r="B347" s="16"/>
    </row>
    <row r="348">
      <c r="B348" s="16"/>
    </row>
    <row r="349">
      <c r="B349" s="16"/>
    </row>
    <row r="350">
      <c r="B350" s="16"/>
    </row>
    <row r="351">
      <c r="B351" s="16"/>
    </row>
    <row r="352">
      <c r="B352" s="16"/>
    </row>
    <row r="353">
      <c r="B353" s="16"/>
    </row>
    <row r="354">
      <c r="B354" s="16"/>
    </row>
    <row r="355">
      <c r="B355" s="16"/>
    </row>
    <row r="356">
      <c r="B356" s="16"/>
    </row>
    <row r="357">
      <c r="B357" s="16"/>
    </row>
    <row r="358">
      <c r="B358" s="16"/>
    </row>
    <row r="359">
      <c r="B359" s="16"/>
    </row>
    <row r="360">
      <c r="B360" s="16"/>
    </row>
    <row r="361">
      <c r="B361" s="16"/>
    </row>
    <row r="362">
      <c r="B362" s="16"/>
    </row>
    <row r="363">
      <c r="B363" s="16"/>
    </row>
    <row r="364">
      <c r="B364" s="16"/>
    </row>
    <row r="365">
      <c r="B365" s="16"/>
    </row>
    <row r="366">
      <c r="B366" s="16"/>
    </row>
    <row r="367">
      <c r="B367" s="16"/>
    </row>
    <row r="368">
      <c r="B368" s="16"/>
    </row>
    <row r="369">
      <c r="B369" s="16"/>
    </row>
    <row r="370">
      <c r="B370" s="16"/>
    </row>
    <row r="371">
      <c r="B371" s="16"/>
    </row>
    <row r="372">
      <c r="B372" s="16"/>
    </row>
    <row r="373">
      <c r="B373" s="16"/>
    </row>
    <row r="374">
      <c r="B374" s="16"/>
    </row>
    <row r="375">
      <c r="B375" s="16"/>
    </row>
    <row r="376">
      <c r="B376" s="16"/>
    </row>
    <row r="377">
      <c r="B377" s="16"/>
    </row>
    <row r="378">
      <c r="B378" s="16"/>
    </row>
    <row r="379">
      <c r="B379" s="16"/>
    </row>
    <row r="380">
      <c r="B380" s="16"/>
    </row>
    <row r="381">
      <c r="B381" s="16"/>
    </row>
    <row r="382">
      <c r="B382" s="16"/>
    </row>
    <row r="383">
      <c r="B383" s="16"/>
    </row>
    <row r="384">
      <c r="B384" s="16"/>
    </row>
    <row r="385">
      <c r="B385" s="16"/>
    </row>
    <row r="386">
      <c r="B386" s="16"/>
    </row>
    <row r="387">
      <c r="B387" s="16"/>
    </row>
    <row r="388">
      <c r="B388" s="16"/>
    </row>
    <row r="389">
      <c r="B389" s="16"/>
    </row>
    <row r="390">
      <c r="B390" s="16"/>
    </row>
    <row r="391">
      <c r="B391" s="16"/>
    </row>
    <row r="392">
      <c r="B392" s="16"/>
    </row>
    <row r="393">
      <c r="B393" s="16"/>
    </row>
    <row r="394">
      <c r="B394" s="16"/>
    </row>
    <row r="395">
      <c r="B395" s="16"/>
    </row>
    <row r="396">
      <c r="B396" s="16"/>
    </row>
    <row r="397">
      <c r="B397" s="16"/>
    </row>
    <row r="398">
      <c r="B398" s="16"/>
    </row>
    <row r="399">
      <c r="B399" s="16"/>
    </row>
    <row r="400">
      <c r="B400" s="16"/>
    </row>
    <row r="401">
      <c r="B401" s="16"/>
    </row>
    <row r="402">
      <c r="B402" s="16"/>
    </row>
    <row r="403">
      <c r="B403" s="16"/>
    </row>
    <row r="404">
      <c r="B404" s="16"/>
    </row>
    <row r="405">
      <c r="B405" s="16"/>
    </row>
    <row r="406">
      <c r="B406" s="16"/>
    </row>
    <row r="407">
      <c r="B407" s="16"/>
    </row>
    <row r="408">
      <c r="B408" s="16"/>
    </row>
    <row r="409">
      <c r="B409" s="16"/>
    </row>
    <row r="410">
      <c r="B410" s="16"/>
    </row>
    <row r="411">
      <c r="B411" s="16"/>
    </row>
    <row r="412">
      <c r="B412" s="16"/>
    </row>
    <row r="413">
      <c r="B413" s="16"/>
    </row>
    <row r="414">
      <c r="B414" s="16"/>
    </row>
    <row r="415">
      <c r="B415" s="16"/>
    </row>
    <row r="416">
      <c r="B416" s="16"/>
    </row>
    <row r="417">
      <c r="B417" s="16"/>
    </row>
    <row r="418">
      <c r="B418" s="16"/>
    </row>
    <row r="419">
      <c r="B419" s="16"/>
    </row>
    <row r="420">
      <c r="B420" s="16"/>
    </row>
    <row r="421">
      <c r="B421" s="16"/>
    </row>
    <row r="422">
      <c r="B422" s="16"/>
    </row>
    <row r="423">
      <c r="B423" s="16"/>
    </row>
    <row r="424">
      <c r="B424" s="16"/>
    </row>
    <row r="425">
      <c r="B425" s="16"/>
    </row>
    <row r="426">
      <c r="B426" s="16"/>
    </row>
    <row r="427">
      <c r="B427" s="16"/>
    </row>
    <row r="428">
      <c r="B428" s="16"/>
    </row>
    <row r="429">
      <c r="B429" s="16"/>
    </row>
    <row r="430">
      <c r="B430" s="16"/>
    </row>
    <row r="431">
      <c r="B431" s="16"/>
    </row>
    <row r="432">
      <c r="B432" s="16"/>
    </row>
    <row r="433">
      <c r="B433" s="16"/>
    </row>
    <row r="434">
      <c r="B434" s="16"/>
    </row>
    <row r="435">
      <c r="B435" s="16"/>
    </row>
    <row r="436">
      <c r="B436" s="16"/>
    </row>
    <row r="437">
      <c r="B437" s="16"/>
    </row>
    <row r="438">
      <c r="B438" s="16"/>
    </row>
    <row r="439">
      <c r="B439" s="16"/>
    </row>
    <row r="440">
      <c r="B440" s="16"/>
    </row>
    <row r="441">
      <c r="B441" s="16"/>
    </row>
    <row r="442">
      <c r="B442" s="16"/>
    </row>
    <row r="443">
      <c r="B443" s="16"/>
    </row>
    <row r="444">
      <c r="B444" s="16"/>
    </row>
    <row r="445">
      <c r="B445" s="16"/>
    </row>
    <row r="446">
      <c r="B446" s="16"/>
    </row>
    <row r="447">
      <c r="B447" s="16"/>
    </row>
    <row r="448">
      <c r="B448" s="16"/>
    </row>
    <row r="449">
      <c r="B449" s="16"/>
    </row>
    <row r="450">
      <c r="B450" s="16"/>
    </row>
    <row r="451">
      <c r="B451" s="16"/>
    </row>
    <row r="452">
      <c r="B452" s="16"/>
    </row>
    <row r="453">
      <c r="B453" s="16"/>
    </row>
    <row r="454">
      <c r="B454" s="16"/>
    </row>
    <row r="455">
      <c r="B455" s="16"/>
    </row>
    <row r="456">
      <c r="B456" s="16"/>
    </row>
    <row r="457">
      <c r="B457" s="16"/>
    </row>
    <row r="458">
      <c r="B458" s="16"/>
    </row>
    <row r="459">
      <c r="B459" s="16"/>
    </row>
    <row r="460">
      <c r="B460" s="16"/>
    </row>
    <row r="461">
      <c r="B461" s="16"/>
    </row>
    <row r="462">
      <c r="B462" s="16"/>
    </row>
    <row r="463">
      <c r="B463" s="16"/>
    </row>
    <row r="464">
      <c r="B464" s="16"/>
    </row>
    <row r="465">
      <c r="B465" s="16"/>
    </row>
    <row r="466">
      <c r="B466" s="16"/>
    </row>
    <row r="467">
      <c r="B467" s="16"/>
    </row>
    <row r="468">
      <c r="B468" s="16"/>
    </row>
    <row r="469">
      <c r="B469" s="16"/>
    </row>
    <row r="470">
      <c r="B470" s="16"/>
    </row>
    <row r="471">
      <c r="B471" s="16"/>
    </row>
    <row r="472">
      <c r="B472" s="16"/>
    </row>
    <row r="473">
      <c r="B473" s="16"/>
    </row>
    <row r="474">
      <c r="B474" s="16"/>
    </row>
    <row r="475">
      <c r="B475" s="16"/>
    </row>
    <row r="476">
      <c r="B476" s="16"/>
    </row>
    <row r="477">
      <c r="B477" s="16"/>
    </row>
    <row r="478">
      <c r="B478" s="16"/>
    </row>
    <row r="479">
      <c r="B479" s="16"/>
    </row>
    <row r="480">
      <c r="B480" s="16"/>
    </row>
    <row r="481">
      <c r="B481" s="16"/>
    </row>
    <row r="482">
      <c r="B482" s="16"/>
    </row>
    <row r="483">
      <c r="B483" s="16"/>
    </row>
    <row r="484">
      <c r="B484" s="16"/>
    </row>
    <row r="485">
      <c r="B485" s="16"/>
    </row>
    <row r="486">
      <c r="B486" s="16"/>
    </row>
    <row r="487">
      <c r="B487" s="16"/>
    </row>
    <row r="488">
      <c r="B488" s="16"/>
    </row>
    <row r="489">
      <c r="B489" s="16"/>
    </row>
    <row r="490">
      <c r="B490" s="16"/>
    </row>
    <row r="491">
      <c r="B491" s="16"/>
    </row>
    <row r="492">
      <c r="B492" s="16"/>
    </row>
    <row r="493">
      <c r="B493" s="16"/>
    </row>
    <row r="494">
      <c r="B494" s="16"/>
    </row>
    <row r="495">
      <c r="B495" s="16"/>
    </row>
    <row r="496">
      <c r="B496" s="16"/>
    </row>
    <row r="497">
      <c r="B497" s="16"/>
    </row>
    <row r="498">
      <c r="B498" s="16"/>
    </row>
    <row r="499">
      <c r="B499" s="16"/>
    </row>
    <row r="500">
      <c r="B500" s="16"/>
    </row>
    <row r="501">
      <c r="B501" s="16"/>
    </row>
    <row r="502">
      <c r="B502" s="16"/>
    </row>
    <row r="503">
      <c r="B503" s="16"/>
    </row>
    <row r="504">
      <c r="B504" s="16"/>
    </row>
    <row r="505">
      <c r="B505" s="16"/>
    </row>
    <row r="506">
      <c r="B506" s="16"/>
    </row>
    <row r="507">
      <c r="B507" s="16"/>
    </row>
    <row r="508">
      <c r="B508" s="16"/>
    </row>
    <row r="509">
      <c r="B509" s="16"/>
    </row>
    <row r="510">
      <c r="B510" s="16"/>
    </row>
    <row r="511">
      <c r="B511" s="16"/>
    </row>
    <row r="512">
      <c r="B512" s="16"/>
    </row>
    <row r="513">
      <c r="B513" s="16"/>
    </row>
    <row r="514">
      <c r="B514" s="16"/>
    </row>
    <row r="515">
      <c r="B515" s="16"/>
    </row>
    <row r="516">
      <c r="B516" s="16"/>
    </row>
    <row r="517">
      <c r="B517" s="16"/>
    </row>
    <row r="518">
      <c r="B518" s="16"/>
    </row>
    <row r="519">
      <c r="B519" s="16"/>
    </row>
    <row r="520">
      <c r="B520" s="16"/>
    </row>
    <row r="521">
      <c r="B521" s="16"/>
    </row>
    <row r="522">
      <c r="B522" s="16"/>
    </row>
    <row r="523">
      <c r="B523" s="16"/>
    </row>
    <row r="524">
      <c r="B524" s="16"/>
    </row>
    <row r="525">
      <c r="B525" s="16"/>
    </row>
    <row r="526">
      <c r="B526" s="16"/>
    </row>
    <row r="527">
      <c r="B527" s="16"/>
    </row>
    <row r="528">
      <c r="B528" s="16"/>
    </row>
    <row r="529">
      <c r="B529" s="16"/>
    </row>
    <row r="530">
      <c r="B530" s="16"/>
    </row>
    <row r="531">
      <c r="B531" s="16"/>
    </row>
    <row r="532">
      <c r="B532" s="16"/>
    </row>
    <row r="533">
      <c r="B533" s="16"/>
    </row>
    <row r="534">
      <c r="B534" s="16"/>
    </row>
    <row r="535">
      <c r="B535" s="16"/>
    </row>
    <row r="536">
      <c r="B536" s="16"/>
    </row>
    <row r="537">
      <c r="B537" s="16"/>
    </row>
    <row r="538">
      <c r="B538" s="16"/>
    </row>
    <row r="539">
      <c r="B539" s="16"/>
    </row>
    <row r="540">
      <c r="B540" s="16"/>
    </row>
    <row r="541">
      <c r="B541" s="16"/>
    </row>
    <row r="542">
      <c r="B542" s="16"/>
    </row>
    <row r="543">
      <c r="B543" s="16"/>
    </row>
    <row r="544">
      <c r="B544" s="16"/>
    </row>
    <row r="545">
      <c r="B545" s="16"/>
    </row>
    <row r="546">
      <c r="B546" s="16"/>
    </row>
    <row r="547">
      <c r="B547" s="16"/>
    </row>
    <row r="548">
      <c r="B548" s="16"/>
    </row>
    <row r="549">
      <c r="B549" s="16"/>
    </row>
    <row r="550">
      <c r="B550" s="16"/>
    </row>
    <row r="551">
      <c r="B551" s="16"/>
    </row>
    <row r="552">
      <c r="B552" s="16"/>
    </row>
    <row r="553">
      <c r="B553" s="16"/>
    </row>
    <row r="554">
      <c r="B554" s="16"/>
    </row>
    <row r="555">
      <c r="B555" s="16"/>
    </row>
    <row r="556">
      <c r="B556" s="16"/>
    </row>
    <row r="557">
      <c r="B557" s="16"/>
    </row>
    <row r="558">
      <c r="B558" s="16"/>
    </row>
    <row r="559">
      <c r="B559" s="16"/>
    </row>
    <row r="560">
      <c r="B560" s="16"/>
    </row>
    <row r="561">
      <c r="B561" s="16"/>
    </row>
    <row r="562">
      <c r="B562" s="16"/>
    </row>
    <row r="563">
      <c r="B563" s="16"/>
    </row>
    <row r="564">
      <c r="B564" s="16"/>
    </row>
    <row r="565">
      <c r="B565" s="16"/>
    </row>
    <row r="566">
      <c r="B566" s="16"/>
    </row>
    <row r="567">
      <c r="B567" s="16"/>
    </row>
    <row r="568">
      <c r="B568" s="16"/>
    </row>
    <row r="569">
      <c r="B569" s="16"/>
    </row>
    <row r="570">
      <c r="B570" s="16"/>
    </row>
    <row r="571">
      <c r="B571" s="16"/>
    </row>
    <row r="572">
      <c r="B572" s="16"/>
    </row>
    <row r="573">
      <c r="B573" s="16"/>
    </row>
    <row r="574">
      <c r="B574" s="16"/>
    </row>
    <row r="575">
      <c r="B575" s="16"/>
    </row>
    <row r="576">
      <c r="B576" s="16"/>
    </row>
    <row r="577">
      <c r="B577" s="16"/>
    </row>
    <row r="578">
      <c r="B578" s="16"/>
    </row>
    <row r="579">
      <c r="B579" s="16"/>
    </row>
    <row r="580">
      <c r="B580" s="16"/>
    </row>
    <row r="581">
      <c r="B581" s="16"/>
    </row>
    <row r="582">
      <c r="B582" s="16"/>
    </row>
    <row r="583">
      <c r="B583" s="16"/>
    </row>
    <row r="584">
      <c r="B584" s="16"/>
    </row>
    <row r="585">
      <c r="B585" s="16"/>
    </row>
    <row r="586">
      <c r="B586" s="16"/>
    </row>
    <row r="587">
      <c r="B587" s="16"/>
    </row>
    <row r="588">
      <c r="B588" s="16"/>
    </row>
    <row r="589">
      <c r="B589" s="16"/>
    </row>
    <row r="590">
      <c r="B590" s="16"/>
    </row>
    <row r="591">
      <c r="B591" s="16"/>
    </row>
    <row r="592">
      <c r="B592" s="16"/>
    </row>
    <row r="593">
      <c r="B593" s="16"/>
    </row>
    <row r="594">
      <c r="B594" s="16"/>
    </row>
    <row r="595">
      <c r="B595" s="16"/>
    </row>
    <row r="596">
      <c r="B596" s="16"/>
    </row>
    <row r="597">
      <c r="B597" s="16"/>
    </row>
    <row r="598">
      <c r="B598" s="16"/>
    </row>
    <row r="599">
      <c r="B599" s="16"/>
    </row>
    <row r="600">
      <c r="B600" s="16"/>
    </row>
    <row r="601">
      <c r="B601" s="16"/>
    </row>
    <row r="602">
      <c r="B602" s="16"/>
    </row>
    <row r="603">
      <c r="B603" s="16"/>
    </row>
    <row r="604">
      <c r="B604" s="16"/>
    </row>
    <row r="605">
      <c r="B605" s="16"/>
    </row>
    <row r="606">
      <c r="B606" s="16"/>
    </row>
    <row r="607">
      <c r="B607" s="16"/>
    </row>
    <row r="608">
      <c r="B608" s="16"/>
    </row>
    <row r="609">
      <c r="B609" s="16"/>
    </row>
    <row r="610">
      <c r="B610" s="16"/>
    </row>
    <row r="611">
      <c r="B611" s="16"/>
    </row>
    <row r="612">
      <c r="B612" s="16"/>
    </row>
    <row r="613">
      <c r="B613" s="16"/>
    </row>
    <row r="614">
      <c r="B614" s="16"/>
    </row>
    <row r="615">
      <c r="B615" s="16"/>
    </row>
    <row r="616">
      <c r="B616" s="16"/>
    </row>
    <row r="617">
      <c r="B617" s="16"/>
    </row>
    <row r="618">
      <c r="B618" s="16"/>
    </row>
    <row r="619">
      <c r="B619" s="16"/>
    </row>
    <row r="620">
      <c r="B620" s="16"/>
    </row>
    <row r="621">
      <c r="B621" s="16"/>
    </row>
    <row r="622">
      <c r="B622" s="16"/>
    </row>
    <row r="623">
      <c r="B623" s="16"/>
    </row>
    <row r="624">
      <c r="B624" s="16"/>
    </row>
    <row r="625">
      <c r="B625" s="16"/>
    </row>
    <row r="626">
      <c r="B626" s="16"/>
    </row>
    <row r="627">
      <c r="B627" s="16"/>
    </row>
    <row r="628">
      <c r="B628" s="16"/>
    </row>
    <row r="629">
      <c r="B629" s="16"/>
    </row>
    <row r="630">
      <c r="B630" s="16"/>
    </row>
    <row r="631">
      <c r="B631" s="16"/>
    </row>
    <row r="632">
      <c r="B632" s="16"/>
    </row>
    <row r="633">
      <c r="B633" s="16"/>
    </row>
    <row r="634">
      <c r="B634" s="16"/>
    </row>
    <row r="635">
      <c r="B635" s="16"/>
    </row>
    <row r="636">
      <c r="B636" s="16"/>
    </row>
    <row r="637">
      <c r="B637" s="16"/>
    </row>
    <row r="638">
      <c r="B638" s="16"/>
    </row>
    <row r="639">
      <c r="B639" s="16"/>
    </row>
    <row r="640">
      <c r="B640" s="16"/>
    </row>
    <row r="641">
      <c r="B641" s="16"/>
    </row>
    <row r="642">
      <c r="B642" s="16"/>
    </row>
    <row r="643">
      <c r="B643" s="16"/>
    </row>
    <row r="644">
      <c r="B644" s="16"/>
    </row>
    <row r="645">
      <c r="B645" s="16"/>
    </row>
    <row r="646">
      <c r="B646" s="16"/>
    </row>
    <row r="647">
      <c r="B647" s="16"/>
    </row>
    <row r="648">
      <c r="B648" s="16"/>
    </row>
    <row r="649">
      <c r="B649" s="16"/>
    </row>
    <row r="650">
      <c r="B650" s="16"/>
    </row>
    <row r="651">
      <c r="B651" s="16"/>
    </row>
    <row r="652">
      <c r="B652" s="16"/>
    </row>
    <row r="653">
      <c r="B653" s="16"/>
    </row>
    <row r="654">
      <c r="B654" s="16"/>
    </row>
    <row r="655">
      <c r="B655" s="16"/>
    </row>
    <row r="656">
      <c r="B656" s="16"/>
    </row>
    <row r="657">
      <c r="B657" s="16"/>
    </row>
    <row r="658">
      <c r="B658" s="16"/>
    </row>
    <row r="659">
      <c r="B659" s="16"/>
    </row>
    <row r="660">
      <c r="B660" s="16"/>
    </row>
    <row r="661">
      <c r="B661" s="16"/>
    </row>
    <row r="662">
      <c r="B662" s="16"/>
    </row>
    <row r="663">
      <c r="B663" s="16"/>
    </row>
    <row r="664">
      <c r="B664" s="16"/>
    </row>
    <row r="665">
      <c r="B665" s="16"/>
    </row>
    <row r="666">
      <c r="B666" s="16"/>
    </row>
    <row r="667">
      <c r="B667" s="16"/>
    </row>
    <row r="668">
      <c r="B668" s="16"/>
    </row>
    <row r="669">
      <c r="B669" s="16"/>
    </row>
    <row r="670">
      <c r="B670" s="16"/>
    </row>
    <row r="671">
      <c r="B671" s="16"/>
    </row>
    <row r="672">
      <c r="B672" s="16"/>
    </row>
    <row r="673">
      <c r="B673" s="16"/>
    </row>
    <row r="674">
      <c r="B674" s="16"/>
    </row>
    <row r="675">
      <c r="B675" s="16"/>
    </row>
    <row r="676">
      <c r="B676" s="16"/>
    </row>
    <row r="677">
      <c r="B677" s="16"/>
    </row>
    <row r="678">
      <c r="B678" s="16"/>
    </row>
    <row r="679">
      <c r="B679" s="16"/>
    </row>
    <row r="680">
      <c r="B680" s="16"/>
    </row>
    <row r="681">
      <c r="B681" s="16"/>
    </row>
    <row r="682">
      <c r="B682" s="16"/>
    </row>
    <row r="683">
      <c r="B683" s="16"/>
    </row>
    <row r="684">
      <c r="B684" s="16"/>
    </row>
    <row r="685">
      <c r="B685" s="16"/>
    </row>
    <row r="686">
      <c r="B686" s="16"/>
    </row>
    <row r="687">
      <c r="B687" s="16"/>
    </row>
    <row r="688">
      <c r="B688" s="16"/>
    </row>
    <row r="689">
      <c r="B689" s="16"/>
    </row>
    <row r="690">
      <c r="B690" s="16"/>
    </row>
    <row r="691">
      <c r="B691" s="16"/>
    </row>
    <row r="692">
      <c r="B692" s="16"/>
    </row>
    <row r="693">
      <c r="B693" s="16"/>
    </row>
    <row r="694">
      <c r="B694" s="16"/>
    </row>
    <row r="695">
      <c r="B695" s="16"/>
    </row>
    <row r="696">
      <c r="B696" s="16"/>
    </row>
    <row r="697">
      <c r="B697" s="16"/>
    </row>
    <row r="698">
      <c r="B698" s="16"/>
    </row>
    <row r="699">
      <c r="B699" s="16"/>
    </row>
    <row r="700">
      <c r="B700" s="16"/>
    </row>
    <row r="701">
      <c r="B701" s="16"/>
    </row>
    <row r="702">
      <c r="B702" s="16"/>
    </row>
    <row r="703">
      <c r="B703" s="16"/>
    </row>
    <row r="704">
      <c r="B704" s="16"/>
    </row>
    <row r="705">
      <c r="B705" s="16"/>
    </row>
    <row r="706">
      <c r="B706" s="16"/>
    </row>
    <row r="707">
      <c r="B707" s="16"/>
    </row>
    <row r="708">
      <c r="B708" s="16"/>
    </row>
    <row r="709">
      <c r="B709" s="16"/>
    </row>
    <row r="710">
      <c r="B710" s="16"/>
    </row>
    <row r="711">
      <c r="B711" s="16"/>
    </row>
    <row r="712">
      <c r="B712" s="16"/>
    </row>
    <row r="713">
      <c r="B713" s="16"/>
    </row>
    <row r="714">
      <c r="B714" s="16"/>
    </row>
    <row r="715">
      <c r="B715" s="16"/>
    </row>
    <row r="716">
      <c r="B716" s="16"/>
    </row>
    <row r="717">
      <c r="B717" s="16"/>
    </row>
    <row r="718">
      <c r="B718" s="16"/>
    </row>
    <row r="719">
      <c r="B719" s="16"/>
    </row>
    <row r="720">
      <c r="B720" s="16"/>
    </row>
    <row r="721">
      <c r="B721" s="16"/>
    </row>
    <row r="722">
      <c r="B722" s="16"/>
    </row>
    <row r="723">
      <c r="B723" s="16"/>
    </row>
    <row r="724">
      <c r="B724" s="16"/>
    </row>
    <row r="725">
      <c r="B725" s="16"/>
    </row>
    <row r="726">
      <c r="B726" s="16"/>
    </row>
    <row r="727">
      <c r="B727" s="16"/>
    </row>
    <row r="728">
      <c r="B728" s="16"/>
    </row>
    <row r="729">
      <c r="B729" s="16"/>
    </row>
    <row r="730">
      <c r="B730" s="16"/>
    </row>
    <row r="731">
      <c r="B731" s="16"/>
    </row>
    <row r="732">
      <c r="B732" s="16"/>
    </row>
    <row r="733">
      <c r="B733" s="16"/>
    </row>
    <row r="734">
      <c r="B734" s="16"/>
    </row>
    <row r="735">
      <c r="B735" s="16"/>
    </row>
    <row r="736">
      <c r="B736" s="16"/>
    </row>
    <row r="737">
      <c r="B737" s="16"/>
    </row>
    <row r="738">
      <c r="B738" s="16"/>
    </row>
    <row r="739">
      <c r="B739" s="16"/>
    </row>
    <row r="740">
      <c r="B740" s="16"/>
    </row>
    <row r="741">
      <c r="B741" s="16"/>
    </row>
    <row r="742">
      <c r="B742" s="16"/>
    </row>
    <row r="743">
      <c r="B743" s="16"/>
    </row>
    <row r="744">
      <c r="B744" s="16"/>
    </row>
    <row r="745">
      <c r="B745" s="16"/>
    </row>
    <row r="746">
      <c r="B746" s="16"/>
    </row>
    <row r="747">
      <c r="B747" s="16"/>
    </row>
    <row r="748">
      <c r="B748" s="16"/>
    </row>
    <row r="749">
      <c r="B749" s="16"/>
    </row>
    <row r="750">
      <c r="B750" s="16"/>
    </row>
    <row r="751">
      <c r="B751" s="16"/>
    </row>
    <row r="752">
      <c r="B752" s="16"/>
    </row>
    <row r="753">
      <c r="B753" s="16"/>
    </row>
    <row r="754">
      <c r="B754" s="16"/>
    </row>
    <row r="755">
      <c r="B755" s="16"/>
    </row>
    <row r="756">
      <c r="B756" s="16"/>
    </row>
    <row r="757">
      <c r="B757" s="16"/>
    </row>
    <row r="758">
      <c r="B758" s="16"/>
    </row>
    <row r="759">
      <c r="B759" s="16"/>
    </row>
    <row r="760">
      <c r="B760" s="16"/>
    </row>
    <row r="761">
      <c r="B761" s="16"/>
    </row>
    <row r="762">
      <c r="B762" s="16"/>
    </row>
    <row r="763">
      <c r="B763" s="16"/>
    </row>
    <row r="764">
      <c r="B764" s="16"/>
    </row>
    <row r="765">
      <c r="B765" s="16"/>
    </row>
    <row r="766">
      <c r="B766" s="16"/>
    </row>
    <row r="767">
      <c r="B767" s="16"/>
    </row>
    <row r="768">
      <c r="B768" s="16"/>
    </row>
    <row r="769">
      <c r="B769" s="16"/>
    </row>
    <row r="770">
      <c r="B770" s="16"/>
    </row>
    <row r="771">
      <c r="B771" s="16"/>
    </row>
    <row r="772">
      <c r="B772" s="16"/>
    </row>
    <row r="773">
      <c r="B773" s="16"/>
    </row>
    <row r="774">
      <c r="B774" s="16"/>
    </row>
    <row r="775">
      <c r="B775" s="16"/>
    </row>
    <row r="776">
      <c r="B776" s="16"/>
    </row>
    <row r="777">
      <c r="B777" s="16"/>
    </row>
    <row r="778">
      <c r="B778" s="16"/>
    </row>
    <row r="779">
      <c r="B779" s="16"/>
    </row>
    <row r="780">
      <c r="B780" s="16"/>
    </row>
    <row r="781">
      <c r="B781" s="16"/>
    </row>
    <row r="782">
      <c r="B782" s="16"/>
    </row>
    <row r="783">
      <c r="B783" s="16"/>
    </row>
    <row r="784">
      <c r="B784" s="16"/>
    </row>
    <row r="785">
      <c r="B785" s="16"/>
    </row>
    <row r="786">
      <c r="B786" s="16"/>
    </row>
    <row r="787">
      <c r="B787" s="16"/>
    </row>
    <row r="788">
      <c r="B788" s="16"/>
    </row>
    <row r="789">
      <c r="B789" s="16"/>
    </row>
    <row r="790">
      <c r="B790" s="16"/>
    </row>
    <row r="791">
      <c r="B791" s="16"/>
    </row>
    <row r="792">
      <c r="B792" s="16"/>
    </row>
    <row r="793">
      <c r="B793" s="16"/>
    </row>
    <row r="794">
      <c r="B794" s="16"/>
    </row>
    <row r="795">
      <c r="B795" s="16"/>
    </row>
    <row r="796">
      <c r="B796" s="16"/>
    </row>
    <row r="797">
      <c r="B797" s="16"/>
    </row>
    <row r="798">
      <c r="B798" s="16"/>
    </row>
    <row r="799">
      <c r="B799" s="16"/>
    </row>
    <row r="800">
      <c r="B800" s="16"/>
    </row>
    <row r="801">
      <c r="B801" s="16"/>
    </row>
    <row r="802">
      <c r="B802" s="16"/>
    </row>
    <row r="803">
      <c r="B803" s="16"/>
    </row>
    <row r="804">
      <c r="B804" s="16"/>
    </row>
    <row r="805">
      <c r="B805" s="16"/>
    </row>
    <row r="806">
      <c r="B806" s="16"/>
    </row>
    <row r="807">
      <c r="B807" s="16"/>
    </row>
    <row r="808">
      <c r="B808" s="16"/>
    </row>
    <row r="809">
      <c r="B809" s="16"/>
    </row>
    <row r="810">
      <c r="B810" s="16"/>
    </row>
    <row r="811">
      <c r="B811" s="16"/>
    </row>
    <row r="812">
      <c r="B812" s="16"/>
    </row>
    <row r="813">
      <c r="B813" s="16"/>
    </row>
    <row r="814">
      <c r="B814" s="16"/>
    </row>
    <row r="815">
      <c r="B815" s="16"/>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row r="955">
      <c r="B955" s="16"/>
    </row>
    <row r="956">
      <c r="B956" s="16"/>
    </row>
    <row r="957">
      <c r="B957" s="16"/>
    </row>
    <row r="958">
      <c r="B958" s="16"/>
    </row>
    <row r="959">
      <c r="B959" s="16"/>
    </row>
    <row r="960">
      <c r="B960" s="16"/>
    </row>
    <row r="961">
      <c r="B961" s="16"/>
    </row>
    <row r="962">
      <c r="B962" s="16"/>
    </row>
    <row r="963">
      <c r="B963" s="16"/>
    </row>
    <row r="964">
      <c r="B964" s="16"/>
    </row>
    <row r="965">
      <c r="B965" s="16"/>
    </row>
    <row r="966">
      <c r="B966" s="16"/>
    </row>
    <row r="967">
      <c r="B967" s="16"/>
    </row>
    <row r="968">
      <c r="B968" s="16"/>
    </row>
    <row r="969">
      <c r="B969" s="16"/>
    </row>
    <row r="970">
      <c r="B970" s="16"/>
    </row>
    <row r="971">
      <c r="B971" s="16"/>
    </row>
    <row r="972">
      <c r="B972" s="16"/>
    </row>
    <row r="973">
      <c r="B973" s="16"/>
    </row>
    <row r="974">
      <c r="B974"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row r="1001">
      <c r="B1001" s="16"/>
    </row>
    <row r="1002">
      <c r="B1002" s="16"/>
    </row>
    <row r="1003">
      <c r="B1003" s="16"/>
    </row>
    <row r="1004">
      <c r="B1004" s="16"/>
    </row>
    <row r="1005">
      <c r="B1005" s="16"/>
    </row>
    <row r="1006">
      <c r="B1006" s="16"/>
    </row>
    <row r="1007">
      <c r="B1007" s="16"/>
    </row>
    <row r="1008">
      <c r="B1008" s="16"/>
    </row>
    <row r="1009">
      <c r="B1009" s="16"/>
    </row>
    <row r="1010">
      <c r="B1010" s="16"/>
    </row>
    <row r="1011">
      <c r="B1011" s="16"/>
    </row>
    <row r="1012">
      <c r="B1012" s="16"/>
    </row>
    <row r="1013">
      <c r="B1013" s="16"/>
    </row>
    <row r="1014">
      <c r="B1014" s="16"/>
    </row>
    <row r="1015">
      <c r="B1015" s="16"/>
    </row>
    <row r="1016">
      <c r="B1016" s="16"/>
    </row>
    <row r="1017">
      <c r="B1017" s="16"/>
    </row>
    <row r="1018">
      <c r="B1018" s="16"/>
    </row>
    <row r="1019">
      <c r="B1019" s="16"/>
    </row>
    <row r="1020">
      <c r="B1020" s="16"/>
    </row>
    <row r="1021">
      <c r="B1021" s="16"/>
    </row>
    <row r="1022">
      <c r="B1022" s="16"/>
    </row>
    <row r="1023">
      <c r="B1023" s="16"/>
    </row>
    <row r="1024">
      <c r="B1024" s="16"/>
    </row>
    <row r="1025">
      <c r="B1025" s="16"/>
    </row>
    <row r="1026">
      <c r="B1026" s="16"/>
    </row>
    <row r="1027">
      <c r="B1027" s="16"/>
    </row>
    <row r="1028">
      <c r="B1028" s="16"/>
    </row>
    <row r="1029">
      <c r="B1029" s="16"/>
    </row>
    <row r="1030">
      <c r="B1030" s="16"/>
    </row>
    <row r="1031">
      <c r="B1031" s="16"/>
    </row>
    <row r="1032">
      <c r="B1032" s="16"/>
    </row>
    <row r="1033">
      <c r="B1033" s="16"/>
    </row>
    <row r="1034">
      <c r="B1034" s="16"/>
    </row>
    <row r="1035">
      <c r="B1035" s="16"/>
    </row>
    <row r="1036">
      <c r="B1036" s="16"/>
    </row>
    <row r="1037">
      <c r="B1037" s="16"/>
    </row>
    <row r="1038">
      <c r="B1038" s="16"/>
    </row>
    <row r="1039">
      <c r="B1039"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57"/>
    <col customWidth="1" min="2" max="2" width="15.29"/>
    <col customWidth="1" min="3" max="5" width="8.71"/>
    <col customWidth="1" min="6" max="6" width="17.86"/>
    <col customWidth="1" min="7" max="7" width="15.29"/>
  </cols>
  <sheetData>
    <row r="1" ht="14.25" customHeight="1">
      <c r="A1" s="1" t="s">
        <v>366</v>
      </c>
      <c r="B1" s="1" t="s">
        <v>367</v>
      </c>
      <c r="C1" s="2" t="s">
        <v>368</v>
      </c>
      <c r="D1" s="1" t="s">
        <v>369</v>
      </c>
      <c r="E1" s="2" t="s">
        <v>370</v>
      </c>
      <c r="F1" s="2" t="s">
        <v>15</v>
      </c>
      <c r="G1" s="2" t="s">
        <v>371</v>
      </c>
    </row>
    <row r="2" ht="14.25" customHeight="1">
      <c r="A2" s="21" t="s">
        <v>372</v>
      </c>
      <c r="B2" s="21" t="s">
        <v>373</v>
      </c>
      <c r="C2" s="21">
        <v>1135.0</v>
      </c>
      <c r="D2" s="21">
        <v>88.0</v>
      </c>
      <c r="E2" s="21">
        <v>344084.0</v>
      </c>
      <c r="F2" s="21">
        <v>8.06</v>
      </c>
      <c r="G2" s="21">
        <v>5904.0</v>
      </c>
    </row>
    <row r="3" ht="14.25" customHeight="1">
      <c r="A3" s="21" t="s">
        <v>372</v>
      </c>
      <c r="B3" s="21" t="s">
        <v>374</v>
      </c>
      <c r="C3" s="21">
        <v>1312.0</v>
      </c>
      <c r="D3" s="21">
        <v>310.0</v>
      </c>
      <c r="E3" s="21">
        <v>42654.0</v>
      </c>
      <c r="F3" s="21">
        <v>4.98</v>
      </c>
      <c r="G3" s="21">
        <v>9566.0</v>
      </c>
    </row>
    <row r="4" ht="14.25" customHeight="1">
      <c r="A4" s="21" t="s">
        <v>372</v>
      </c>
      <c r="B4" s="21" t="s">
        <v>375</v>
      </c>
      <c r="C4" s="21">
        <v>584.0</v>
      </c>
      <c r="D4" s="21">
        <v>169.0</v>
      </c>
      <c r="E4" s="21">
        <v>146834.0</v>
      </c>
      <c r="F4" s="21">
        <v>8.31</v>
      </c>
      <c r="G4" s="21">
        <v>26752.0</v>
      </c>
    </row>
    <row r="5" ht="14.25" customHeight="1">
      <c r="A5" s="21" t="s">
        <v>372</v>
      </c>
      <c r="B5" s="21" t="s">
        <v>376</v>
      </c>
      <c r="C5" s="21">
        <v>1535.0</v>
      </c>
      <c r="D5" s="21">
        <v>445.0</v>
      </c>
      <c r="E5" s="21">
        <v>395536.0</v>
      </c>
      <c r="F5" s="21">
        <v>4.11</v>
      </c>
      <c r="G5" s="21">
        <v>30671.0</v>
      </c>
    </row>
    <row r="6" ht="14.25" customHeight="1">
      <c r="A6" s="21" t="s">
        <v>377</v>
      </c>
      <c r="B6" s="21" t="s">
        <v>373</v>
      </c>
      <c r="C6" s="21">
        <v>656.0</v>
      </c>
      <c r="D6" s="21">
        <v>139.0</v>
      </c>
      <c r="E6" s="21">
        <v>49157.0</v>
      </c>
      <c r="F6" s="21">
        <v>9.05</v>
      </c>
      <c r="G6" s="21">
        <v>9920.0</v>
      </c>
    </row>
    <row r="7" ht="14.25" customHeight="1">
      <c r="A7" s="21" t="s">
        <v>377</v>
      </c>
      <c r="B7" s="21" t="s">
        <v>374</v>
      </c>
      <c r="C7" s="21">
        <v>1697.0</v>
      </c>
      <c r="D7" s="21">
        <v>414.0</v>
      </c>
      <c r="E7" s="21">
        <v>316555.0</v>
      </c>
      <c r="F7" s="21">
        <v>2.37</v>
      </c>
      <c r="G7" s="21">
        <v>7924.0</v>
      </c>
    </row>
    <row r="8" ht="14.25" customHeight="1">
      <c r="A8" s="21" t="s">
        <v>377</v>
      </c>
      <c r="B8" s="21" t="s">
        <v>375</v>
      </c>
      <c r="C8" s="21">
        <v>436.0</v>
      </c>
      <c r="D8" s="21">
        <v>250.0</v>
      </c>
      <c r="E8" s="21">
        <v>254347.0</v>
      </c>
      <c r="F8" s="21">
        <v>4.01</v>
      </c>
      <c r="G8" s="21">
        <v>8912.0</v>
      </c>
    </row>
    <row r="9" ht="14.25" customHeight="1">
      <c r="A9" s="21" t="s">
        <v>377</v>
      </c>
      <c r="B9" s="21" t="s">
        <v>376</v>
      </c>
      <c r="C9" s="21">
        <v>1197.0</v>
      </c>
      <c r="D9" s="21">
        <v>203.0</v>
      </c>
      <c r="E9" s="21">
        <v>413878.0</v>
      </c>
      <c r="F9" s="21">
        <v>3.16</v>
      </c>
      <c r="G9" s="21">
        <v>21205.0</v>
      </c>
    </row>
    <row r="10" ht="14.25" customHeight="1">
      <c r="A10" s="21" t="s">
        <v>378</v>
      </c>
      <c r="B10" s="21" t="s">
        <v>373</v>
      </c>
      <c r="C10" s="21">
        <v>1048.0</v>
      </c>
      <c r="D10" s="21">
        <v>155.0</v>
      </c>
      <c r="E10" s="21">
        <v>456946.0</v>
      </c>
      <c r="F10" s="21">
        <v>2.46</v>
      </c>
      <c r="G10" s="21">
        <v>11329.0</v>
      </c>
    </row>
    <row r="11" ht="14.25" customHeight="1">
      <c r="A11" s="21" t="s">
        <v>378</v>
      </c>
      <c r="B11" s="21" t="s">
        <v>374</v>
      </c>
      <c r="C11" s="21">
        <v>1753.0</v>
      </c>
      <c r="D11" s="21">
        <v>371.0</v>
      </c>
      <c r="E11" s="21">
        <v>169496.0</v>
      </c>
      <c r="F11" s="21">
        <v>8.11</v>
      </c>
      <c r="G11" s="21">
        <v>46670.0</v>
      </c>
    </row>
    <row r="12" ht="14.25" customHeight="1">
      <c r="A12" s="21" t="s">
        <v>378</v>
      </c>
      <c r="B12" s="21" t="s">
        <v>375</v>
      </c>
      <c r="C12" s="21">
        <v>1335.0</v>
      </c>
      <c r="D12" s="21">
        <v>40.0</v>
      </c>
      <c r="E12" s="21">
        <v>122732.0</v>
      </c>
      <c r="F12" s="21">
        <v>8.19</v>
      </c>
      <c r="G12" s="21">
        <v>22482.0</v>
      </c>
    </row>
    <row r="13" ht="14.25" customHeight="1">
      <c r="A13" s="21" t="s">
        <v>378</v>
      </c>
      <c r="B13" s="21" t="s">
        <v>376</v>
      </c>
      <c r="C13" s="21">
        <v>403.0</v>
      </c>
      <c r="D13" s="21">
        <v>66.0</v>
      </c>
      <c r="E13" s="21">
        <v>382851.0</v>
      </c>
      <c r="F13" s="21">
        <v>3.49</v>
      </c>
      <c r="G13" s="21">
        <v>24313.0</v>
      </c>
    </row>
    <row r="14" ht="14.25" customHeight="1">
      <c r="A14" s="21" t="s">
        <v>379</v>
      </c>
      <c r="B14" s="21" t="s">
        <v>373</v>
      </c>
      <c r="C14" s="21">
        <v>911.0</v>
      </c>
      <c r="D14" s="21">
        <v>282.0</v>
      </c>
      <c r="E14" s="21">
        <v>35664.0</v>
      </c>
      <c r="F14" s="21">
        <v>6.92</v>
      </c>
      <c r="G14" s="21">
        <v>18050.0</v>
      </c>
    </row>
    <row r="15" ht="14.25" customHeight="1">
      <c r="A15" s="21" t="s">
        <v>379</v>
      </c>
      <c r="B15" s="21" t="s">
        <v>374</v>
      </c>
      <c r="C15" s="21">
        <v>1779.0</v>
      </c>
      <c r="D15" s="21">
        <v>109.0</v>
      </c>
      <c r="E15" s="21">
        <v>26295.0</v>
      </c>
      <c r="F15" s="21">
        <v>9.12</v>
      </c>
      <c r="G15" s="21">
        <v>30635.0</v>
      </c>
    </row>
    <row r="16" ht="14.25" customHeight="1">
      <c r="A16" s="21" t="s">
        <v>379</v>
      </c>
      <c r="B16" s="21" t="s">
        <v>375</v>
      </c>
      <c r="C16" s="21">
        <v>1238.0</v>
      </c>
      <c r="D16" s="21">
        <v>403.0</v>
      </c>
      <c r="E16" s="21">
        <v>298421.0</v>
      </c>
      <c r="F16" s="21">
        <v>3.5</v>
      </c>
      <c r="G16" s="21">
        <v>31280.0</v>
      </c>
    </row>
    <row r="17" ht="14.25" customHeight="1">
      <c r="A17" s="21" t="s">
        <v>379</v>
      </c>
      <c r="B17" s="21" t="s">
        <v>376</v>
      </c>
      <c r="C17" s="21">
        <v>308.0</v>
      </c>
      <c r="D17" s="21">
        <v>431.0</v>
      </c>
      <c r="E17" s="21">
        <v>426184.0</v>
      </c>
      <c r="F17" s="21">
        <v>2.62</v>
      </c>
      <c r="G17" s="21">
        <v>1783.0</v>
      </c>
    </row>
    <row r="18" ht="14.25" customHeight="1">
      <c r="A18" s="21" t="s">
        <v>380</v>
      </c>
      <c r="B18" s="21" t="s">
        <v>373</v>
      </c>
      <c r="C18" s="21">
        <v>226.0</v>
      </c>
      <c r="D18" s="21">
        <v>445.0</v>
      </c>
      <c r="E18" s="21">
        <v>419447.0</v>
      </c>
      <c r="F18" s="21">
        <v>9.36</v>
      </c>
      <c r="G18" s="21">
        <v>9566.0</v>
      </c>
    </row>
    <row r="19" ht="14.25" customHeight="1">
      <c r="A19" s="21" t="s">
        <v>380</v>
      </c>
      <c r="B19" s="21" t="s">
        <v>374</v>
      </c>
      <c r="C19" s="21">
        <v>505.0</v>
      </c>
      <c r="D19" s="21">
        <v>441.0</v>
      </c>
      <c r="E19" s="21">
        <v>220020.0</v>
      </c>
      <c r="F19" s="21">
        <v>4.48</v>
      </c>
      <c r="G19" s="21">
        <v>42307.0</v>
      </c>
    </row>
    <row r="20" ht="14.25" customHeight="1">
      <c r="A20" s="21" t="s">
        <v>380</v>
      </c>
      <c r="B20" s="21" t="s">
        <v>375</v>
      </c>
      <c r="C20" s="21">
        <v>1420.0</v>
      </c>
      <c r="D20" s="21">
        <v>63.0</v>
      </c>
      <c r="E20" s="21">
        <v>315305.0</v>
      </c>
      <c r="F20" s="21">
        <v>6.19</v>
      </c>
      <c r="G20" s="21">
        <v>5914.0</v>
      </c>
    </row>
    <row r="21" ht="14.25" customHeight="1">
      <c r="A21" s="21" t="s">
        <v>380</v>
      </c>
      <c r="B21" s="21" t="s">
        <v>376</v>
      </c>
      <c r="C21" s="21">
        <v>144.0</v>
      </c>
      <c r="D21" s="21">
        <v>53.0</v>
      </c>
      <c r="E21" s="21">
        <v>113678.0</v>
      </c>
      <c r="F21" s="21">
        <v>8.72</v>
      </c>
      <c r="G21" s="21">
        <v>30060.0</v>
      </c>
    </row>
    <row r="22" ht="14.25" customHeight="1">
      <c r="A22" s="21" t="s">
        <v>381</v>
      </c>
      <c r="B22" s="21" t="s">
        <v>373</v>
      </c>
      <c r="C22" s="21">
        <v>1757.0</v>
      </c>
      <c r="D22" s="21">
        <v>85.0</v>
      </c>
      <c r="E22" s="21">
        <v>58223.0</v>
      </c>
      <c r="F22" s="21">
        <v>8.74</v>
      </c>
      <c r="G22" s="21">
        <v>22728.0</v>
      </c>
    </row>
    <row r="23" ht="14.25" customHeight="1">
      <c r="A23" s="21" t="s">
        <v>381</v>
      </c>
      <c r="B23" s="21" t="s">
        <v>374</v>
      </c>
      <c r="C23" s="21">
        <v>350.0</v>
      </c>
      <c r="D23" s="21">
        <v>41.0</v>
      </c>
      <c r="E23" s="21">
        <v>251694.0</v>
      </c>
      <c r="F23" s="21">
        <v>1.91</v>
      </c>
      <c r="G23" s="21">
        <v>38610.0</v>
      </c>
    </row>
    <row r="24" ht="14.25" customHeight="1">
      <c r="A24" s="21" t="s">
        <v>381</v>
      </c>
      <c r="B24" s="21" t="s">
        <v>375</v>
      </c>
      <c r="C24" s="21">
        <v>987.0</v>
      </c>
      <c r="D24" s="21">
        <v>440.0</v>
      </c>
      <c r="E24" s="21">
        <v>389810.0</v>
      </c>
      <c r="F24" s="21">
        <v>4.66</v>
      </c>
      <c r="G24" s="21">
        <v>2932.0</v>
      </c>
    </row>
    <row r="25" ht="14.25" customHeight="1">
      <c r="A25" s="21" t="s">
        <v>381</v>
      </c>
      <c r="B25" s="21" t="s">
        <v>376</v>
      </c>
      <c r="C25" s="21">
        <v>883.0</v>
      </c>
      <c r="D25" s="21">
        <v>369.0</v>
      </c>
      <c r="E25" s="21">
        <v>233694.0</v>
      </c>
      <c r="F25" s="21">
        <v>2.88</v>
      </c>
      <c r="G25" s="21">
        <v>15071.0</v>
      </c>
    </row>
    <row r="26" ht="14.25" customHeight="1">
      <c r="A26" s="21" t="s">
        <v>382</v>
      </c>
      <c r="B26" s="21" t="s">
        <v>373</v>
      </c>
      <c r="C26" s="21">
        <v>1960.0</v>
      </c>
      <c r="D26" s="21">
        <v>115.0</v>
      </c>
      <c r="E26" s="21">
        <v>154169.0</v>
      </c>
      <c r="F26" s="21">
        <v>3.74</v>
      </c>
      <c r="G26" s="21">
        <v>10740.0</v>
      </c>
    </row>
    <row r="27" ht="14.25" customHeight="1">
      <c r="A27" s="21" t="s">
        <v>382</v>
      </c>
      <c r="B27" s="21" t="s">
        <v>374</v>
      </c>
      <c r="C27" s="21">
        <v>170.0</v>
      </c>
      <c r="D27" s="21">
        <v>334.0</v>
      </c>
      <c r="E27" s="21">
        <v>334626.0</v>
      </c>
      <c r="F27" s="21">
        <v>6.44</v>
      </c>
      <c r="G27" s="21">
        <v>43420.0</v>
      </c>
    </row>
    <row r="28" ht="14.25" customHeight="1">
      <c r="A28" s="21" t="s">
        <v>382</v>
      </c>
      <c r="B28" s="21" t="s">
        <v>375</v>
      </c>
      <c r="C28" s="21">
        <v>704.0</v>
      </c>
      <c r="D28" s="21">
        <v>275.0</v>
      </c>
      <c r="E28" s="21">
        <v>226002.0</v>
      </c>
      <c r="F28" s="21">
        <v>8.56</v>
      </c>
      <c r="G28" s="21">
        <v>32393.0</v>
      </c>
    </row>
    <row r="29" ht="14.25" customHeight="1">
      <c r="A29" s="21" t="s">
        <v>382</v>
      </c>
      <c r="B29" s="21" t="s">
        <v>376</v>
      </c>
      <c r="C29" s="21">
        <v>224.0</v>
      </c>
      <c r="D29" s="21">
        <v>64.0</v>
      </c>
      <c r="E29" s="21">
        <v>156683.0</v>
      </c>
      <c r="F29" s="21">
        <v>4.56</v>
      </c>
      <c r="G29" s="21">
        <v>28474.0</v>
      </c>
    </row>
    <row r="30" ht="14.25" customHeight="1">
      <c r="A30" s="21" t="s">
        <v>383</v>
      </c>
      <c r="B30" s="21" t="s">
        <v>373</v>
      </c>
      <c r="C30" s="21">
        <v>508.0</v>
      </c>
      <c r="D30" s="21">
        <v>349.0</v>
      </c>
      <c r="E30" s="21">
        <v>473812.0</v>
      </c>
      <c r="F30" s="21">
        <v>7.88</v>
      </c>
      <c r="G30" s="21">
        <v>17328.0</v>
      </c>
    </row>
    <row r="31" ht="14.25" customHeight="1">
      <c r="A31" s="21" t="s">
        <v>383</v>
      </c>
      <c r="B31" s="21" t="s">
        <v>374</v>
      </c>
      <c r="C31" s="21">
        <v>1391.0</v>
      </c>
      <c r="D31" s="21">
        <v>430.0</v>
      </c>
      <c r="E31" s="21">
        <v>295032.0</v>
      </c>
      <c r="F31" s="21">
        <v>7.86</v>
      </c>
      <c r="G31" s="21">
        <v>26067.0</v>
      </c>
    </row>
    <row r="32" ht="14.25" customHeight="1">
      <c r="A32" s="21" t="s">
        <v>383</v>
      </c>
      <c r="B32" s="21" t="s">
        <v>375</v>
      </c>
      <c r="C32" s="21">
        <v>1701.0</v>
      </c>
      <c r="D32" s="21">
        <v>385.0</v>
      </c>
      <c r="E32" s="21">
        <v>198278.0</v>
      </c>
      <c r="F32" s="21">
        <v>5.34</v>
      </c>
      <c r="G32" s="21">
        <v>32763.0</v>
      </c>
    </row>
    <row r="33" ht="14.25" customHeight="1">
      <c r="A33" s="21" t="s">
        <v>383</v>
      </c>
      <c r="B33" s="21" t="s">
        <v>376</v>
      </c>
      <c r="C33" s="21">
        <v>804.0</v>
      </c>
      <c r="D33" s="21">
        <v>487.0</v>
      </c>
      <c r="E33" s="21">
        <v>306564.0</v>
      </c>
      <c r="F33" s="21">
        <v>5.52</v>
      </c>
      <c r="G33" s="21">
        <v>26452.0</v>
      </c>
    </row>
    <row r="34" ht="14.25" customHeight="1">
      <c r="A34" s="21" t="s">
        <v>384</v>
      </c>
      <c r="B34" s="21" t="s">
        <v>373</v>
      </c>
      <c r="C34" s="21">
        <v>653.0</v>
      </c>
      <c r="D34" s="21">
        <v>112.0</v>
      </c>
      <c r="E34" s="21">
        <v>23664.0</v>
      </c>
      <c r="F34" s="21">
        <v>4.05</v>
      </c>
      <c r="G34" s="21">
        <v>15353.0</v>
      </c>
    </row>
    <row r="35" ht="14.25" customHeight="1">
      <c r="A35" s="21" t="s">
        <v>384</v>
      </c>
      <c r="B35" s="21" t="s">
        <v>374</v>
      </c>
      <c r="C35" s="21">
        <v>160.0</v>
      </c>
      <c r="D35" s="21">
        <v>478.0</v>
      </c>
      <c r="E35" s="21">
        <v>435034.0</v>
      </c>
      <c r="F35" s="21">
        <v>7.73</v>
      </c>
      <c r="G35" s="21">
        <v>4839.0</v>
      </c>
    </row>
    <row r="36" ht="14.25" customHeight="1">
      <c r="A36" s="21" t="s">
        <v>384</v>
      </c>
      <c r="B36" s="21" t="s">
        <v>375</v>
      </c>
      <c r="C36" s="21">
        <v>1756.0</v>
      </c>
      <c r="D36" s="21">
        <v>261.0</v>
      </c>
      <c r="E36" s="21">
        <v>287574.0</v>
      </c>
      <c r="F36" s="21">
        <v>4.36</v>
      </c>
      <c r="G36" s="21">
        <v>39272.0</v>
      </c>
    </row>
    <row r="37" ht="14.25" customHeight="1">
      <c r="A37" s="21" t="s">
        <v>384</v>
      </c>
      <c r="B37" s="21" t="s">
        <v>376</v>
      </c>
      <c r="C37" s="21">
        <v>576.0</v>
      </c>
      <c r="D37" s="21">
        <v>101.0</v>
      </c>
      <c r="E37" s="21">
        <v>62499.0</v>
      </c>
      <c r="F37" s="21">
        <v>3.48</v>
      </c>
      <c r="G37" s="21">
        <v>16804.0</v>
      </c>
    </row>
    <row r="38" ht="14.25" customHeight="1">
      <c r="A38" s="21" t="s">
        <v>385</v>
      </c>
      <c r="B38" s="21" t="s">
        <v>373</v>
      </c>
      <c r="C38" s="21">
        <v>645.0</v>
      </c>
      <c r="D38" s="21">
        <v>293.0</v>
      </c>
      <c r="E38" s="21">
        <v>437968.0</v>
      </c>
      <c r="F38" s="21">
        <v>7.83</v>
      </c>
      <c r="G38" s="21">
        <v>49303.0</v>
      </c>
    </row>
    <row r="39" ht="14.25" customHeight="1">
      <c r="A39" s="21" t="s">
        <v>385</v>
      </c>
      <c r="B39" s="21" t="s">
        <v>374</v>
      </c>
      <c r="C39" s="21">
        <v>214.0</v>
      </c>
      <c r="D39" s="21">
        <v>411.0</v>
      </c>
      <c r="E39" s="21">
        <v>125034.0</v>
      </c>
      <c r="F39" s="21">
        <v>6.11</v>
      </c>
      <c r="G39" s="21">
        <v>26455.0</v>
      </c>
    </row>
    <row r="40" ht="14.25" customHeight="1">
      <c r="A40" s="21" t="s">
        <v>385</v>
      </c>
      <c r="B40" s="21" t="s">
        <v>375</v>
      </c>
      <c r="C40" s="21">
        <v>826.0</v>
      </c>
      <c r="D40" s="21">
        <v>498.0</v>
      </c>
      <c r="E40" s="21">
        <v>449994.0</v>
      </c>
      <c r="F40" s="21">
        <v>9.43</v>
      </c>
      <c r="G40" s="21">
        <v>12384.0</v>
      </c>
    </row>
    <row r="41" ht="14.25" customHeight="1">
      <c r="A41" s="21" t="s">
        <v>385</v>
      </c>
      <c r="B41" s="21" t="s">
        <v>376</v>
      </c>
      <c r="C41" s="21">
        <v>460.0</v>
      </c>
      <c r="D41" s="21">
        <v>141.0</v>
      </c>
      <c r="E41" s="21">
        <v>320650.0</v>
      </c>
      <c r="F41" s="21">
        <v>4.04</v>
      </c>
      <c r="G41" s="21">
        <v>49372.0</v>
      </c>
    </row>
    <row r="42" ht="14.25" customHeight="1">
      <c r="A42" s="21" t="s">
        <v>386</v>
      </c>
      <c r="B42" s="21" t="s">
        <v>373</v>
      </c>
      <c r="C42" s="21">
        <v>1528.0</v>
      </c>
      <c r="D42" s="21">
        <v>203.0</v>
      </c>
      <c r="E42" s="21">
        <v>489188.0</v>
      </c>
      <c r="F42" s="21">
        <v>6.23</v>
      </c>
      <c r="G42" s="21">
        <v>47101.0</v>
      </c>
    </row>
    <row r="43" ht="14.25" customHeight="1">
      <c r="A43" s="21" t="s">
        <v>386</v>
      </c>
      <c r="B43" s="21" t="s">
        <v>374</v>
      </c>
      <c r="C43" s="21">
        <v>1534.0</v>
      </c>
      <c r="D43" s="21">
        <v>200.0</v>
      </c>
      <c r="E43" s="21">
        <v>307612.0</v>
      </c>
      <c r="F43" s="21">
        <v>6.01</v>
      </c>
      <c r="G43" s="21">
        <v>37903.0</v>
      </c>
    </row>
    <row r="44" ht="14.25" customHeight="1">
      <c r="A44" s="21" t="s">
        <v>386</v>
      </c>
      <c r="B44" s="21" t="s">
        <v>375</v>
      </c>
      <c r="C44" s="21">
        <v>485.0</v>
      </c>
      <c r="D44" s="21">
        <v>448.0</v>
      </c>
      <c r="E44" s="21">
        <v>434883.0</v>
      </c>
      <c r="F44" s="21">
        <v>8.55</v>
      </c>
      <c r="G44" s="21">
        <v>33258.0</v>
      </c>
    </row>
    <row r="45" ht="14.25" customHeight="1">
      <c r="A45" s="21" t="s">
        <v>386</v>
      </c>
      <c r="B45" s="21" t="s">
        <v>376</v>
      </c>
      <c r="C45" s="21">
        <v>1210.0</v>
      </c>
      <c r="D45" s="21">
        <v>178.0</v>
      </c>
      <c r="E45" s="21">
        <v>102042.0</v>
      </c>
      <c r="F45" s="21">
        <v>5.42</v>
      </c>
      <c r="G45" s="21">
        <v>6915.0</v>
      </c>
    </row>
    <row r="46" ht="14.25" customHeight="1">
      <c r="A46" s="21" t="s">
        <v>387</v>
      </c>
      <c r="B46" s="21" t="s">
        <v>373</v>
      </c>
      <c r="C46" s="21">
        <v>215.0</v>
      </c>
      <c r="D46" s="21">
        <v>139.0</v>
      </c>
      <c r="E46" s="21">
        <v>325444.0</v>
      </c>
      <c r="F46" s="21">
        <v>3.25</v>
      </c>
      <c r="G46" s="21">
        <v>35501.0</v>
      </c>
    </row>
    <row r="47" ht="14.25" customHeight="1">
      <c r="A47" s="21" t="s">
        <v>387</v>
      </c>
      <c r="B47" s="21" t="s">
        <v>374</v>
      </c>
      <c r="C47" s="21">
        <v>1078.0</v>
      </c>
      <c r="D47" s="21">
        <v>20.0</v>
      </c>
      <c r="E47" s="21">
        <v>183924.0</v>
      </c>
      <c r="F47" s="21">
        <v>8.84</v>
      </c>
      <c r="G47" s="21">
        <v>14203.0</v>
      </c>
    </row>
    <row r="48" ht="14.25" customHeight="1">
      <c r="A48" s="21" t="s">
        <v>387</v>
      </c>
      <c r="B48" s="21" t="s">
        <v>375</v>
      </c>
      <c r="C48" s="21">
        <v>1751.0</v>
      </c>
      <c r="D48" s="21">
        <v>86.0</v>
      </c>
      <c r="E48" s="21">
        <v>188655.0</v>
      </c>
      <c r="F48" s="21">
        <v>7.24</v>
      </c>
      <c r="G48" s="21">
        <v>22206.0</v>
      </c>
    </row>
    <row r="49" ht="14.25" customHeight="1">
      <c r="A49" s="21" t="s">
        <v>387</v>
      </c>
      <c r="B49" s="21" t="s">
        <v>376</v>
      </c>
      <c r="C49" s="21">
        <v>221.0</v>
      </c>
      <c r="D49" s="21">
        <v>31.0</v>
      </c>
      <c r="E49" s="21">
        <v>87443.0</v>
      </c>
      <c r="F49" s="21">
        <v>6.19</v>
      </c>
      <c r="G49" s="21">
        <v>10283.0</v>
      </c>
    </row>
    <row r="50" ht="14.25" customHeight="1">
      <c r="A50" s="21" t="s">
        <v>388</v>
      </c>
      <c r="B50" s="21" t="s">
        <v>373</v>
      </c>
      <c r="C50" s="21">
        <v>1685.0</v>
      </c>
      <c r="D50" s="21">
        <v>76.0</v>
      </c>
      <c r="E50" s="21">
        <v>453799.0</v>
      </c>
      <c r="F50" s="21">
        <v>5.71</v>
      </c>
      <c r="G50" s="21">
        <v>24913.0</v>
      </c>
    </row>
    <row r="51" ht="14.25" customHeight="1">
      <c r="A51" s="21" t="s">
        <v>388</v>
      </c>
      <c r="B51" s="21" t="s">
        <v>374</v>
      </c>
      <c r="C51" s="21">
        <v>248.0</v>
      </c>
      <c r="D51" s="21">
        <v>211.0</v>
      </c>
      <c r="E51" s="21">
        <v>379380.0</v>
      </c>
      <c r="F51" s="21">
        <v>9.04</v>
      </c>
      <c r="G51" s="21">
        <v>26925.0</v>
      </c>
    </row>
    <row r="52" ht="14.25" customHeight="1">
      <c r="A52" s="21" t="s">
        <v>388</v>
      </c>
      <c r="B52" s="21" t="s">
        <v>375</v>
      </c>
      <c r="C52" s="21">
        <v>1300.0</v>
      </c>
      <c r="D52" s="21">
        <v>71.0</v>
      </c>
      <c r="E52" s="21">
        <v>186454.0</v>
      </c>
      <c r="F52" s="21">
        <v>3.91</v>
      </c>
      <c r="G52" s="21">
        <v>9942.0</v>
      </c>
    </row>
    <row r="53" ht="14.25" customHeight="1">
      <c r="A53" s="21" t="s">
        <v>388</v>
      </c>
      <c r="B53" s="21" t="s">
        <v>376</v>
      </c>
      <c r="C53" s="21">
        <v>422.0</v>
      </c>
      <c r="D53" s="21">
        <v>394.0</v>
      </c>
      <c r="E53" s="21">
        <v>239044.0</v>
      </c>
      <c r="F53" s="21">
        <v>7.83</v>
      </c>
      <c r="G53" s="21">
        <v>32929.0</v>
      </c>
    </row>
    <row r="54" ht="14.25" customHeight="1">
      <c r="A54" s="21" t="s">
        <v>389</v>
      </c>
      <c r="B54" s="21" t="s">
        <v>373</v>
      </c>
      <c r="C54" s="21">
        <v>1429.0</v>
      </c>
      <c r="D54" s="21">
        <v>182.0</v>
      </c>
      <c r="E54" s="21">
        <v>101332.0</v>
      </c>
      <c r="F54" s="21">
        <v>7.16</v>
      </c>
      <c r="G54" s="21">
        <v>37829.0</v>
      </c>
    </row>
    <row r="55" ht="14.25" customHeight="1">
      <c r="A55" s="21" t="s">
        <v>389</v>
      </c>
      <c r="B55" s="21" t="s">
        <v>374</v>
      </c>
      <c r="C55" s="21">
        <v>1520.0</v>
      </c>
      <c r="D55" s="21">
        <v>475.0</v>
      </c>
      <c r="E55" s="21">
        <v>496982.0</v>
      </c>
      <c r="F55" s="21">
        <v>6.41</v>
      </c>
      <c r="G55" s="21">
        <v>24384.0</v>
      </c>
    </row>
    <row r="56" ht="14.25" customHeight="1">
      <c r="A56" s="21" t="s">
        <v>389</v>
      </c>
      <c r="B56" s="21" t="s">
        <v>375</v>
      </c>
      <c r="C56" s="21">
        <v>557.0</v>
      </c>
      <c r="D56" s="21">
        <v>360.0</v>
      </c>
      <c r="E56" s="21">
        <v>318779.0</v>
      </c>
      <c r="F56" s="21">
        <v>8.02</v>
      </c>
      <c r="G56" s="21">
        <v>25797.0</v>
      </c>
    </row>
    <row r="57" ht="14.25" customHeight="1">
      <c r="A57" s="21" t="s">
        <v>389</v>
      </c>
      <c r="B57" s="21" t="s">
        <v>376</v>
      </c>
      <c r="C57" s="21">
        <v>728.0</v>
      </c>
      <c r="D57" s="21">
        <v>395.0</v>
      </c>
      <c r="E57" s="21">
        <v>370971.0</v>
      </c>
      <c r="F57" s="21">
        <v>3.86</v>
      </c>
      <c r="G57" s="21">
        <v>12646.0</v>
      </c>
    </row>
    <row r="58" ht="14.25" customHeight="1">
      <c r="A58" s="21" t="s">
        <v>390</v>
      </c>
      <c r="B58" s="21" t="s">
        <v>373</v>
      </c>
      <c r="C58" s="21">
        <v>1592.0</v>
      </c>
      <c r="D58" s="21">
        <v>20.0</v>
      </c>
      <c r="E58" s="21">
        <v>378054.0</v>
      </c>
      <c r="F58" s="21">
        <v>9.09</v>
      </c>
      <c r="G58" s="21">
        <v>26663.0</v>
      </c>
    </row>
    <row r="59" ht="14.25" customHeight="1">
      <c r="A59" s="21" t="s">
        <v>390</v>
      </c>
      <c r="B59" s="21" t="s">
        <v>374</v>
      </c>
      <c r="C59" s="21">
        <v>1842.0</v>
      </c>
      <c r="D59" s="21">
        <v>414.0</v>
      </c>
      <c r="E59" s="21">
        <v>307524.0</v>
      </c>
      <c r="F59" s="21">
        <v>1.76</v>
      </c>
      <c r="G59" s="21">
        <v>40478.0</v>
      </c>
    </row>
    <row r="60" ht="14.25" customHeight="1">
      <c r="A60" s="21" t="s">
        <v>390</v>
      </c>
      <c r="B60" s="21" t="s">
        <v>375</v>
      </c>
      <c r="C60" s="21">
        <v>751.0</v>
      </c>
      <c r="D60" s="21">
        <v>491.0</v>
      </c>
      <c r="E60" s="21">
        <v>434047.0</v>
      </c>
      <c r="F60" s="21">
        <v>9.24</v>
      </c>
      <c r="G60" s="21">
        <v>15476.0</v>
      </c>
    </row>
    <row r="61" ht="14.25" customHeight="1">
      <c r="A61" s="21" t="s">
        <v>390</v>
      </c>
      <c r="B61" s="21" t="s">
        <v>376</v>
      </c>
      <c r="C61" s="21">
        <v>1409.0</v>
      </c>
      <c r="D61" s="21">
        <v>309.0</v>
      </c>
      <c r="E61" s="21">
        <v>64583.0</v>
      </c>
      <c r="F61" s="21">
        <v>8.99</v>
      </c>
      <c r="G61" s="21">
        <v>10217.0</v>
      </c>
    </row>
    <row r="62" ht="14.25" customHeight="1">
      <c r="A62" s="21" t="s">
        <v>391</v>
      </c>
      <c r="B62" s="21" t="s">
        <v>373</v>
      </c>
      <c r="C62" s="21">
        <v>778.0</v>
      </c>
      <c r="D62" s="21">
        <v>401.0</v>
      </c>
      <c r="E62" s="21">
        <v>50793.0</v>
      </c>
      <c r="F62" s="21">
        <v>3.4</v>
      </c>
      <c r="G62" s="21">
        <v>21939.0</v>
      </c>
    </row>
    <row r="63" ht="14.25" customHeight="1">
      <c r="A63" s="21" t="s">
        <v>391</v>
      </c>
      <c r="B63" s="21" t="s">
        <v>374</v>
      </c>
      <c r="C63" s="21">
        <v>443.0</v>
      </c>
      <c r="D63" s="21">
        <v>345.0</v>
      </c>
      <c r="E63" s="21">
        <v>474162.0</v>
      </c>
      <c r="F63" s="21">
        <v>9.2</v>
      </c>
      <c r="G63" s="21">
        <v>47462.0</v>
      </c>
    </row>
    <row r="64" ht="14.25" customHeight="1">
      <c r="A64" s="21" t="s">
        <v>391</v>
      </c>
      <c r="B64" s="21" t="s">
        <v>375</v>
      </c>
      <c r="C64" s="21">
        <v>1472.0</v>
      </c>
      <c r="D64" s="21">
        <v>347.0</v>
      </c>
      <c r="E64" s="21">
        <v>392355.0</v>
      </c>
      <c r="F64" s="21">
        <v>8.59</v>
      </c>
      <c r="G64" s="21">
        <v>30270.0</v>
      </c>
    </row>
    <row r="65" ht="14.25" customHeight="1">
      <c r="A65" s="21" t="s">
        <v>391</v>
      </c>
      <c r="B65" s="21" t="s">
        <v>376</v>
      </c>
      <c r="C65" s="21">
        <v>123.0</v>
      </c>
      <c r="D65" s="21">
        <v>155.0</v>
      </c>
      <c r="E65" s="21">
        <v>119934.0</v>
      </c>
      <c r="F65" s="21">
        <v>3.5</v>
      </c>
      <c r="G65" s="21">
        <v>5442.0</v>
      </c>
    </row>
    <row r="66" ht="14.25" customHeight="1">
      <c r="A66" s="21" t="s">
        <v>392</v>
      </c>
      <c r="B66" s="21" t="s">
        <v>373</v>
      </c>
      <c r="C66" s="21">
        <v>817.0</v>
      </c>
      <c r="D66" s="21">
        <v>151.0</v>
      </c>
      <c r="E66" s="21">
        <v>422625.0</v>
      </c>
      <c r="F66" s="21">
        <v>2.36</v>
      </c>
      <c r="G66" s="21">
        <v>1083.0</v>
      </c>
    </row>
    <row r="67" ht="14.25" customHeight="1">
      <c r="A67" s="21" t="s">
        <v>392</v>
      </c>
      <c r="B67" s="21" t="s">
        <v>374</v>
      </c>
      <c r="C67" s="21">
        <v>198.0</v>
      </c>
      <c r="D67" s="21">
        <v>217.0</v>
      </c>
      <c r="E67" s="21">
        <v>239753.0</v>
      </c>
      <c r="F67" s="21">
        <v>7.36</v>
      </c>
      <c r="G67" s="21">
        <v>11901.0</v>
      </c>
    </row>
    <row r="68" ht="14.25" customHeight="1">
      <c r="A68" s="21" t="s">
        <v>392</v>
      </c>
      <c r="B68" s="21" t="s">
        <v>375</v>
      </c>
      <c r="C68" s="21">
        <v>1911.0</v>
      </c>
      <c r="D68" s="21">
        <v>231.0</v>
      </c>
      <c r="E68" s="21">
        <v>268516.0</v>
      </c>
      <c r="F68" s="21">
        <v>8.55</v>
      </c>
      <c r="G68" s="21">
        <v>24018.0</v>
      </c>
    </row>
    <row r="69" ht="14.25" customHeight="1">
      <c r="A69" s="21" t="s">
        <v>392</v>
      </c>
      <c r="B69" s="21" t="s">
        <v>376</v>
      </c>
      <c r="C69" s="21">
        <v>1218.0</v>
      </c>
      <c r="D69" s="21">
        <v>212.0</v>
      </c>
      <c r="E69" s="21">
        <v>63177.0</v>
      </c>
      <c r="F69" s="21">
        <v>8.13</v>
      </c>
      <c r="G69" s="21">
        <v>38883.0</v>
      </c>
    </row>
    <row r="70" ht="14.25" customHeight="1">
      <c r="A70" s="21" t="s">
        <v>393</v>
      </c>
      <c r="B70" s="21" t="s">
        <v>373</v>
      </c>
      <c r="C70" s="21">
        <v>1433.0</v>
      </c>
      <c r="D70" s="21">
        <v>408.0</v>
      </c>
      <c r="E70" s="21">
        <v>370269.0</v>
      </c>
      <c r="F70" s="21">
        <v>3.3</v>
      </c>
      <c r="G70" s="21">
        <v>30575.0</v>
      </c>
    </row>
    <row r="71" ht="14.25" customHeight="1">
      <c r="A71" s="21" t="s">
        <v>393</v>
      </c>
      <c r="B71" s="21" t="s">
        <v>374</v>
      </c>
      <c r="C71" s="21">
        <v>250.0</v>
      </c>
      <c r="D71" s="21">
        <v>429.0</v>
      </c>
      <c r="E71" s="21">
        <v>453423.0</v>
      </c>
      <c r="F71" s="21">
        <v>1.77</v>
      </c>
      <c r="G71" s="21">
        <v>2315.0</v>
      </c>
    </row>
    <row r="72" ht="14.25" customHeight="1">
      <c r="A72" s="21" t="s">
        <v>393</v>
      </c>
      <c r="B72" s="21" t="s">
        <v>375</v>
      </c>
      <c r="C72" s="21">
        <v>752.0</v>
      </c>
      <c r="D72" s="21">
        <v>153.0</v>
      </c>
      <c r="E72" s="21">
        <v>64906.0</v>
      </c>
      <c r="F72" s="21">
        <v>2.09</v>
      </c>
      <c r="G72" s="21">
        <v>12148.0</v>
      </c>
    </row>
    <row r="73" ht="14.25" customHeight="1">
      <c r="A73" s="21" t="s">
        <v>393</v>
      </c>
      <c r="B73" s="21" t="s">
        <v>376</v>
      </c>
      <c r="C73" s="21">
        <v>1918.0</v>
      </c>
      <c r="D73" s="21">
        <v>212.0</v>
      </c>
      <c r="E73" s="21">
        <v>94360.0</v>
      </c>
      <c r="F73" s="21">
        <v>7.36</v>
      </c>
      <c r="G73" s="21">
        <v>36851.0</v>
      </c>
    </row>
    <row r="74" ht="14.25" customHeight="1">
      <c r="A74" s="21" t="s">
        <v>394</v>
      </c>
      <c r="B74" s="21" t="s">
        <v>373</v>
      </c>
      <c r="C74" s="21">
        <v>1939.0</v>
      </c>
      <c r="D74" s="21">
        <v>67.0</v>
      </c>
      <c r="E74" s="21">
        <v>187183.0</v>
      </c>
      <c r="F74" s="21">
        <v>6.25</v>
      </c>
      <c r="G74" s="21">
        <v>41215.0</v>
      </c>
    </row>
    <row r="75" ht="14.25" customHeight="1">
      <c r="A75" s="21" t="s">
        <v>394</v>
      </c>
      <c r="B75" s="21" t="s">
        <v>374</v>
      </c>
      <c r="C75" s="21">
        <v>1929.0</v>
      </c>
      <c r="D75" s="21">
        <v>267.0</v>
      </c>
      <c r="E75" s="21">
        <v>379363.0</v>
      </c>
      <c r="F75" s="21">
        <v>1.75</v>
      </c>
      <c r="G75" s="21">
        <v>43836.0</v>
      </c>
    </row>
    <row r="76" ht="14.25" customHeight="1">
      <c r="A76" s="21" t="s">
        <v>394</v>
      </c>
      <c r="B76" s="21" t="s">
        <v>375</v>
      </c>
      <c r="C76" s="21">
        <v>437.0</v>
      </c>
      <c r="D76" s="21">
        <v>330.0</v>
      </c>
      <c r="E76" s="21">
        <v>476486.0</v>
      </c>
      <c r="F76" s="21">
        <v>4.97</v>
      </c>
      <c r="G76" s="21">
        <v>4509.0</v>
      </c>
    </row>
    <row r="77" ht="14.25" customHeight="1">
      <c r="A77" s="21" t="s">
        <v>394</v>
      </c>
      <c r="B77" s="21" t="s">
        <v>376</v>
      </c>
      <c r="C77" s="21">
        <v>307.0</v>
      </c>
      <c r="D77" s="21">
        <v>189.0</v>
      </c>
      <c r="E77" s="21">
        <v>117767.0</v>
      </c>
      <c r="F77" s="21">
        <v>9.3</v>
      </c>
      <c r="G77" s="21">
        <v>27822.0</v>
      </c>
    </row>
    <row r="78" ht="14.25" customHeight="1">
      <c r="A78" s="21" t="s">
        <v>395</v>
      </c>
      <c r="B78" s="21" t="s">
        <v>373</v>
      </c>
      <c r="C78" s="21">
        <v>1527.0</v>
      </c>
      <c r="D78" s="21">
        <v>303.0</v>
      </c>
      <c r="E78" s="21">
        <v>388555.0</v>
      </c>
      <c r="F78" s="21">
        <v>8.9</v>
      </c>
      <c r="G78" s="21">
        <v>36397.0</v>
      </c>
    </row>
    <row r="79" ht="14.25" customHeight="1">
      <c r="A79" s="21" t="s">
        <v>395</v>
      </c>
      <c r="B79" s="21" t="s">
        <v>374</v>
      </c>
      <c r="C79" s="21">
        <v>643.0</v>
      </c>
      <c r="D79" s="21">
        <v>358.0</v>
      </c>
      <c r="E79" s="21">
        <v>157599.0</v>
      </c>
      <c r="F79" s="21">
        <v>3.88</v>
      </c>
      <c r="G79" s="21">
        <v>7285.0</v>
      </c>
    </row>
    <row r="80" ht="14.25" customHeight="1">
      <c r="A80" s="21" t="s">
        <v>395</v>
      </c>
      <c r="B80" s="21" t="s">
        <v>375</v>
      </c>
      <c r="C80" s="21">
        <v>201.0</v>
      </c>
      <c r="D80" s="21">
        <v>221.0</v>
      </c>
      <c r="E80" s="21">
        <v>309772.0</v>
      </c>
      <c r="F80" s="21">
        <v>5.9</v>
      </c>
      <c r="G80" s="21">
        <v>33174.0</v>
      </c>
    </row>
    <row r="81" ht="14.25" customHeight="1">
      <c r="A81" s="21" t="s">
        <v>395</v>
      </c>
      <c r="B81" s="21" t="s">
        <v>376</v>
      </c>
      <c r="C81" s="21">
        <v>414.0</v>
      </c>
      <c r="D81" s="21">
        <v>47.0</v>
      </c>
      <c r="E81" s="21">
        <v>199178.0</v>
      </c>
      <c r="F81" s="21">
        <v>1.53</v>
      </c>
      <c r="G81" s="21">
        <v>6742.0</v>
      </c>
    </row>
    <row r="82" ht="14.25" customHeight="1">
      <c r="A82" s="21" t="s">
        <v>396</v>
      </c>
      <c r="B82" s="21" t="s">
        <v>373</v>
      </c>
      <c r="C82" s="21">
        <v>703.0</v>
      </c>
      <c r="D82" s="21">
        <v>441.0</v>
      </c>
      <c r="E82" s="21">
        <v>357089.0</v>
      </c>
      <c r="F82" s="21">
        <v>6.5</v>
      </c>
      <c r="G82" s="21">
        <v>32478.0</v>
      </c>
    </row>
    <row r="83" ht="14.25" customHeight="1">
      <c r="A83" s="21" t="s">
        <v>396</v>
      </c>
      <c r="B83" s="21" t="s">
        <v>374</v>
      </c>
      <c r="C83" s="21">
        <v>508.0</v>
      </c>
      <c r="D83" s="21">
        <v>69.0</v>
      </c>
      <c r="E83" s="21">
        <v>23492.0</v>
      </c>
      <c r="F83" s="21">
        <v>3.16</v>
      </c>
      <c r="G83" s="21">
        <v>42824.0</v>
      </c>
    </row>
    <row r="84" ht="14.25" customHeight="1">
      <c r="A84" s="21" t="s">
        <v>396</v>
      </c>
      <c r="B84" s="21" t="s">
        <v>375</v>
      </c>
      <c r="C84" s="21">
        <v>697.0</v>
      </c>
      <c r="D84" s="21">
        <v>61.0</v>
      </c>
      <c r="E84" s="21">
        <v>258287.0</v>
      </c>
      <c r="F84" s="21">
        <v>8.25</v>
      </c>
      <c r="G84" s="21">
        <v>21208.0</v>
      </c>
    </row>
    <row r="85" ht="14.25" customHeight="1">
      <c r="A85" s="21" t="s">
        <v>396</v>
      </c>
      <c r="B85" s="21" t="s">
        <v>376</v>
      </c>
      <c r="C85" s="21">
        <v>1707.0</v>
      </c>
      <c r="D85" s="21">
        <v>223.0</v>
      </c>
      <c r="E85" s="21">
        <v>256910.0</v>
      </c>
      <c r="F85" s="21">
        <v>5.41</v>
      </c>
      <c r="G85" s="21">
        <v>44321.0</v>
      </c>
    </row>
    <row r="86" ht="14.25" customHeight="1">
      <c r="A86" s="21" t="s">
        <v>397</v>
      </c>
      <c r="B86" s="21" t="s">
        <v>373</v>
      </c>
      <c r="C86" s="21">
        <v>642.0</v>
      </c>
      <c r="D86" s="21">
        <v>66.0</v>
      </c>
      <c r="E86" s="21">
        <v>346522.0</v>
      </c>
      <c r="F86" s="21">
        <v>5.85</v>
      </c>
      <c r="G86" s="21">
        <v>13116.0</v>
      </c>
    </row>
    <row r="87" ht="14.25" customHeight="1">
      <c r="A87" s="21" t="s">
        <v>397</v>
      </c>
      <c r="B87" s="21" t="s">
        <v>374</v>
      </c>
      <c r="C87" s="21">
        <v>859.0</v>
      </c>
      <c r="D87" s="21">
        <v>473.0</v>
      </c>
      <c r="E87" s="21">
        <v>209987.0</v>
      </c>
      <c r="F87" s="21">
        <v>4.46</v>
      </c>
      <c r="G87" s="21">
        <v>30214.0</v>
      </c>
    </row>
    <row r="88" ht="14.25" customHeight="1">
      <c r="A88" s="21" t="s">
        <v>397</v>
      </c>
      <c r="B88" s="21" t="s">
        <v>375</v>
      </c>
      <c r="C88" s="21">
        <v>191.0</v>
      </c>
      <c r="D88" s="21">
        <v>154.0</v>
      </c>
      <c r="E88" s="21">
        <v>240550.0</v>
      </c>
      <c r="F88" s="21">
        <v>5.22</v>
      </c>
      <c r="G88" s="21">
        <v>15827.0</v>
      </c>
    </row>
    <row r="89" ht="14.25" customHeight="1">
      <c r="A89" s="21" t="s">
        <v>397</v>
      </c>
      <c r="B89" s="21" t="s">
        <v>376</v>
      </c>
      <c r="C89" s="21">
        <v>1814.0</v>
      </c>
      <c r="D89" s="21">
        <v>157.0</v>
      </c>
      <c r="E89" s="21">
        <v>305827.0</v>
      </c>
      <c r="F89" s="21">
        <v>1.99</v>
      </c>
      <c r="G89" s="21">
        <v>46643.0</v>
      </c>
    </row>
    <row r="90" ht="14.25" customHeight="1">
      <c r="A90" s="21" t="s">
        <v>398</v>
      </c>
      <c r="B90" s="21" t="s">
        <v>373</v>
      </c>
      <c r="C90" s="21">
        <v>1466.0</v>
      </c>
      <c r="D90" s="21">
        <v>69.0</v>
      </c>
      <c r="E90" s="21">
        <v>54935.0</v>
      </c>
      <c r="F90" s="21">
        <v>6.85</v>
      </c>
      <c r="G90" s="21">
        <v>36484.0</v>
      </c>
    </row>
    <row r="91" ht="14.25" customHeight="1">
      <c r="A91" s="21" t="s">
        <v>398</v>
      </c>
      <c r="B91" s="21" t="s">
        <v>374</v>
      </c>
      <c r="C91" s="21">
        <v>947.0</v>
      </c>
      <c r="D91" s="21">
        <v>407.0</v>
      </c>
      <c r="E91" s="21">
        <v>319186.0</v>
      </c>
      <c r="F91" s="21">
        <v>3.32</v>
      </c>
      <c r="G91" s="21">
        <v>4996.0</v>
      </c>
    </row>
    <row r="92" ht="14.25" customHeight="1">
      <c r="A92" s="21" t="s">
        <v>398</v>
      </c>
      <c r="B92" s="21" t="s">
        <v>375</v>
      </c>
      <c r="C92" s="21">
        <v>1821.0</v>
      </c>
      <c r="D92" s="21">
        <v>218.0</v>
      </c>
      <c r="E92" s="21">
        <v>439080.0</v>
      </c>
      <c r="F92" s="21">
        <v>5.68</v>
      </c>
      <c r="G92" s="21">
        <v>36095.0</v>
      </c>
    </row>
    <row r="93" ht="14.25" customHeight="1">
      <c r="A93" s="21" t="s">
        <v>398</v>
      </c>
      <c r="B93" s="21" t="s">
        <v>376</v>
      </c>
      <c r="C93" s="21">
        <v>1507.0</v>
      </c>
      <c r="D93" s="21">
        <v>463.0</v>
      </c>
      <c r="E93" s="21">
        <v>258944.0</v>
      </c>
      <c r="F93" s="21">
        <v>6.08</v>
      </c>
      <c r="G93" s="21">
        <v>16443.0</v>
      </c>
    </row>
    <row r="94" ht="14.25" customHeight="1">
      <c r="A94" s="21" t="s">
        <v>399</v>
      </c>
      <c r="B94" s="21" t="s">
        <v>373</v>
      </c>
      <c r="C94" s="21">
        <v>1075.0</v>
      </c>
      <c r="D94" s="21">
        <v>173.0</v>
      </c>
      <c r="E94" s="21">
        <v>51395.0</v>
      </c>
      <c r="F94" s="21">
        <v>4.66</v>
      </c>
      <c r="G94" s="21">
        <v>47812.0</v>
      </c>
    </row>
    <row r="95" ht="14.25" customHeight="1">
      <c r="A95" s="21" t="s">
        <v>399</v>
      </c>
      <c r="B95" s="21" t="s">
        <v>374</v>
      </c>
      <c r="C95" s="21">
        <v>171.0</v>
      </c>
      <c r="D95" s="21">
        <v>277.0</v>
      </c>
      <c r="E95" s="21">
        <v>309483.0</v>
      </c>
      <c r="F95" s="21">
        <v>8.7</v>
      </c>
      <c r="G95" s="21">
        <v>38452.0</v>
      </c>
    </row>
    <row r="96" ht="14.25" customHeight="1">
      <c r="A96" s="21" t="s">
        <v>399</v>
      </c>
      <c r="B96" s="21" t="s">
        <v>375</v>
      </c>
      <c r="C96" s="21">
        <v>1487.0</v>
      </c>
      <c r="D96" s="21">
        <v>337.0</v>
      </c>
      <c r="E96" s="21">
        <v>87305.0</v>
      </c>
      <c r="F96" s="21">
        <v>2.46</v>
      </c>
      <c r="G96" s="21">
        <v>30428.0</v>
      </c>
    </row>
    <row r="97" ht="14.25" customHeight="1">
      <c r="A97" s="21" t="s">
        <v>399</v>
      </c>
      <c r="B97" s="21" t="s">
        <v>376</v>
      </c>
      <c r="C97" s="21">
        <v>454.0</v>
      </c>
      <c r="D97" s="21">
        <v>105.0</v>
      </c>
      <c r="E97" s="21">
        <v>121091.0</v>
      </c>
      <c r="F97" s="21">
        <v>7.97</v>
      </c>
      <c r="G97" s="21">
        <v>9269.0</v>
      </c>
    </row>
    <row r="98" ht="14.25" customHeight="1">
      <c r="A98" s="21" t="s">
        <v>400</v>
      </c>
      <c r="B98" s="21" t="s">
        <v>373</v>
      </c>
      <c r="C98" s="21">
        <v>187.0</v>
      </c>
      <c r="D98" s="21">
        <v>236.0</v>
      </c>
      <c r="E98" s="21">
        <v>51087.0</v>
      </c>
      <c r="F98" s="21">
        <v>9.41</v>
      </c>
      <c r="G98" s="21">
        <v>29533.0</v>
      </c>
    </row>
    <row r="99" ht="14.25" customHeight="1">
      <c r="A99" s="21" t="s">
        <v>400</v>
      </c>
      <c r="B99" s="21" t="s">
        <v>374</v>
      </c>
      <c r="C99" s="21">
        <v>513.0</v>
      </c>
      <c r="D99" s="21">
        <v>441.0</v>
      </c>
      <c r="E99" s="21">
        <v>338847.0</v>
      </c>
      <c r="F99" s="21">
        <v>2.68</v>
      </c>
      <c r="G99" s="21">
        <v>39997.0</v>
      </c>
    </row>
    <row r="100" ht="14.25" customHeight="1">
      <c r="A100" s="21" t="s">
        <v>400</v>
      </c>
      <c r="B100" s="21" t="s">
        <v>375</v>
      </c>
      <c r="C100" s="21">
        <v>628.0</v>
      </c>
      <c r="D100" s="21">
        <v>183.0</v>
      </c>
      <c r="E100" s="21">
        <v>487523.0</v>
      </c>
      <c r="F100" s="21">
        <v>7.32</v>
      </c>
      <c r="G100" s="21">
        <v>5391.0</v>
      </c>
    </row>
    <row r="101" ht="14.25" customHeight="1">
      <c r="A101" s="21" t="s">
        <v>400</v>
      </c>
      <c r="B101" s="21" t="s">
        <v>376</v>
      </c>
      <c r="C101" s="21">
        <v>278.0</v>
      </c>
      <c r="D101" s="21">
        <v>218.0</v>
      </c>
      <c r="E101" s="21">
        <v>301695.0</v>
      </c>
      <c r="F101" s="21">
        <v>4.68</v>
      </c>
      <c r="G101" s="21">
        <v>22373.0</v>
      </c>
    </row>
    <row r="102" ht="14.25" customHeight="1">
      <c r="A102" s="21" t="s">
        <v>401</v>
      </c>
      <c r="B102" s="21" t="s">
        <v>373</v>
      </c>
      <c r="C102" s="21">
        <v>1854.0</v>
      </c>
      <c r="D102" s="21">
        <v>161.0</v>
      </c>
      <c r="E102" s="21">
        <v>282466.0</v>
      </c>
      <c r="F102" s="21">
        <v>5.17</v>
      </c>
      <c r="G102" s="21">
        <v>1810.0</v>
      </c>
    </row>
    <row r="103" ht="14.25" customHeight="1">
      <c r="A103" s="21" t="s">
        <v>401</v>
      </c>
      <c r="B103" s="21" t="s">
        <v>374</v>
      </c>
      <c r="C103" s="21">
        <v>1710.0</v>
      </c>
      <c r="D103" s="21">
        <v>378.0</v>
      </c>
      <c r="E103" s="21">
        <v>336661.0</v>
      </c>
      <c r="F103" s="21">
        <v>6.2</v>
      </c>
      <c r="G103" s="21">
        <v>28498.0</v>
      </c>
    </row>
    <row r="104" ht="14.25" customHeight="1">
      <c r="A104" s="21" t="s">
        <v>401</v>
      </c>
      <c r="B104" s="21" t="s">
        <v>375</v>
      </c>
      <c r="C104" s="21">
        <v>330.0</v>
      </c>
      <c r="D104" s="21">
        <v>232.0</v>
      </c>
      <c r="E104" s="21">
        <v>88455.0</v>
      </c>
      <c r="F104" s="21">
        <v>2.69</v>
      </c>
      <c r="G104" s="21">
        <v>39530.0</v>
      </c>
    </row>
    <row r="105" ht="14.25" customHeight="1">
      <c r="A105" s="21" t="s">
        <v>401</v>
      </c>
      <c r="B105" s="21" t="s">
        <v>376</v>
      </c>
      <c r="C105" s="21">
        <v>1293.0</v>
      </c>
      <c r="D105" s="21">
        <v>408.0</v>
      </c>
      <c r="E105" s="21">
        <v>62535.0</v>
      </c>
      <c r="F105" s="21">
        <v>8.9</v>
      </c>
      <c r="G105" s="21">
        <v>37876.0</v>
      </c>
    </row>
    <row r="106" ht="14.25" customHeight="1">
      <c r="A106" s="21" t="s">
        <v>402</v>
      </c>
      <c r="B106" s="21" t="s">
        <v>373</v>
      </c>
      <c r="C106" s="21">
        <v>1696.0</v>
      </c>
      <c r="D106" s="21">
        <v>71.0</v>
      </c>
      <c r="E106" s="21">
        <v>421957.0</v>
      </c>
      <c r="F106" s="21">
        <v>3.79</v>
      </c>
      <c r="G106" s="21">
        <v>36103.0</v>
      </c>
    </row>
    <row r="107" ht="14.25" customHeight="1">
      <c r="A107" s="21" t="s">
        <v>402</v>
      </c>
      <c r="B107" s="21" t="s">
        <v>374</v>
      </c>
      <c r="C107" s="21">
        <v>1902.0</v>
      </c>
      <c r="D107" s="21">
        <v>196.0</v>
      </c>
      <c r="E107" s="21">
        <v>470269.0</v>
      </c>
      <c r="F107" s="21">
        <v>4.79</v>
      </c>
      <c r="G107" s="21">
        <v>26103.0</v>
      </c>
    </row>
    <row r="108" ht="14.25" customHeight="1">
      <c r="A108" s="21" t="s">
        <v>402</v>
      </c>
      <c r="B108" s="21" t="s">
        <v>375</v>
      </c>
      <c r="C108" s="21">
        <v>1441.0</v>
      </c>
      <c r="D108" s="21">
        <v>268.0</v>
      </c>
      <c r="E108" s="21">
        <v>309904.0</v>
      </c>
      <c r="F108" s="21">
        <v>6.37</v>
      </c>
      <c r="G108" s="21">
        <v>3455.0</v>
      </c>
    </row>
    <row r="109" ht="14.25" customHeight="1">
      <c r="A109" s="21" t="s">
        <v>402</v>
      </c>
      <c r="B109" s="21" t="s">
        <v>376</v>
      </c>
      <c r="C109" s="21">
        <v>452.0</v>
      </c>
      <c r="D109" s="21">
        <v>161.0</v>
      </c>
      <c r="E109" s="21">
        <v>221274.0</v>
      </c>
      <c r="F109" s="21">
        <v>2.65</v>
      </c>
      <c r="G109" s="21">
        <v>40888.0</v>
      </c>
    </row>
    <row r="110" ht="14.25" customHeight="1">
      <c r="A110" s="21" t="s">
        <v>403</v>
      </c>
      <c r="B110" s="21" t="s">
        <v>373</v>
      </c>
      <c r="C110" s="21">
        <v>1494.0</v>
      </c>
      <c r="D110" s="21">
        <v>375.0</v>
      </c>
      <c r="E110" s="21">
        <v>220616.0</v>
      </c>
      <c r="F110" s="21">
        <v>1.81</v>
      </c>
      <c r="G110" s="21">
        <v>22724.0</v>
      </c>
    </row>
    <row r="111" ht="14.25" customHeight="1">
      <c r="A111" s="21" t="s">
        <v>403</v>
      </c>
      <c r="B111" s="21" t="s">
        <v>374</v>
      </c>
      <c r="C111" s="21">
        <v>1514.0</v>
      </c>
      <c r="D111" s="21">
        <v>141.0</v>
      </c>
      <c r="E111" s="21">
        <v>35842.0</v>
      </c>
      <c r="F111" s="21">
        <v>7.47</v>
      </c>
      <c r="G111" s="21">
        <v>18601.0</v>
      </c>
    </row>
    <row r="112" ht="14.25" customHeight="1">
      <c r="A112" s="21" t="s">
        <v>403</v>
      </c>
      <c r="B112" s="21" t="s">
        <v>375</v>
      </c>
      <c r="C112" s="21">
        <v>1937.0</v>
      </c>
      <c r="D112" s="21">
        <v>210.0</v>
      </c>
      <c r="E112" s="21">
        <v>20607.0</v>
      </c>
      <c r="F112" s="21">
        <v>4.2</v>
      </c>
      <c r="G112" s="21">
        <v>20861.0</v>
      </c>
    </row>
    <row r="113" ht="14.25" customHeight="1">
      <c r="A113" s="21" t="s">
        <v>403</v>
      </c>
      <c r="B113" s="21" t="s">
        <v>376</v>
      </c>
      <c r="C113" s="21">
        <v>736.0</v>
      </c>
      <c r="D113" s="21">
        <v>163.0</v>
      </c>
      <c r="E113" s="21">
        <v>451894.0</v>
      </c>
      <c r="F113" s="21">
        <v>5.43</v>
      </c>
      <c r="G113" s="21">
        <v>46625.0</v>
      </c>
    </row>
    <row r="114" ht="14.25" customHeight="1">
      <c r="A114" s="21" t="s">
        <v>404</v>
      </c>
      <c r="B114" s="21" t="s">
        <v>373</v>
      </c>
      <c r="C114" s="21">
        <v>1502.0</v>
      </c>
      <c r="D114" s="21">
        <v>70.0</v>
      </c>
      <c r="E114" s="21">
        <v>465553.0</v>
      </c>
      <c r="F114" s="21">
        <v>3.32</v>
      </c>
      <c r="G114" s="21">
        <v>20692.0</v>
      </c>
    </row>
    <row r="115" ht="14.25" customHeight="1">
      <c r="A115" s="21" t="s">
        <v>404</v>
      </c>
      <c r="B115" s="21" t="s">
        <v>374</v>
      </c>
      <c r="C115" s="21">
        <v>1623.0</v>
      </c>
      <c r="D115" s="21">
        <v>246.0</v>
      </c>
      <c r="E115" s="21">
        <v>415815.0</v>
      </c>
      <c r="F115" s="21">
        <v>8.11</v>
      </c>
      <c r="G115" s="21">
        <v>18656.0</v>
      </c>
    </row>
    <row r="116" ht="14.25" customHeight="1">
      <c r="A116" s="21" t="s">
        <v>404</v>
      </c>
      <c r="B116" s="21" t="s">
        <v>375</v>
      </c>
      <c r="C116" s="21">
        <v>1592.0</v>
      </c>
      <c r="D116" s="21">
        <v>233.0</v>
      </c>
      <c r="E116" s="21">
        <v>327183.0</v>
      </c>
      <c r="F116" s="21">
        <v>6.66</v>
      </c>
      <c r="G116" s="21">
        <v>13316.0</v>
      </c>
    </row>
    <row r="117" ht="14.25" customHeight="1">
      <c r="A117" s="21" t="s">
        <v>404</v>
      </c>
      <c r="B117" s="21" t="s">
        <v>376</v>
      </c>
      <c r="C117" s="21">
        <v>1004.0</v>
      </c>
      <c r="D117" s="21">
        <v>128.0</v>
      </c>
      <c r="E117" s="21">
        <v>488901.0</v>
      </c>
      <c r="F117" s="21">
        <v>8.09</v>
      </c>
      <c r="G117" s="21">
        <v>49558.0</v>
      </c>
    </row>
    <row r="118" ht="14.25" customHeight="1">
      <c r="A118" s="21" t="s">
        <v>405</v>
      </c>
      <c r="B118" s="21" t="s">
        <v>373</v>
      </c>
      <c r="C118" s="21">
        <v>1092.0</v>
      </c>
      <c r="D118" s="21">
        <v>408.0</v>
      </c>
      <c r="E118" s="21">
        <v>280795.0</v>
      </c>
      <c r="F118" s="21">
        <v>8.44</v>
      </c>
      <c r="G118" s="21">
        <v>4683.0</v>
      </c>
    </row>
    <row r="119" ht="14.25" customHeight="1">
      <c r="A119" s="21" t="s">
        <v>405</v>
      </c>
      <c r="B119" s="21" t="s">
        <v>374</v>
      </c>
      <c r="C119" s="21">
        <v>1155.0</v>
      </c>
      <c r="D119" s="21">
        <v>425.0</v>
      </c>
      <c r="E119" s="21">
        <v>93347.0</v>
      </c>
      <c r="F119" s="21">
        <v>2.02</v>
      </c>
      <c r="G119" s="21">
        <v>47502.0</v>
      </c>
    </row>
    <row r="120" ht="14.25" customHeight="1">
      <c r="A120" s="21" t="s">
        <v>405</v>
      </c>
      <c r="B120" s="21" t="s">
        <v>375</v>
      </c>
      <c r="C120" s="21">
        <v>1137.0</v>
      </c>
      <c r="D120" s="21">
        <v>226.0</v>
      </c>
      <c r="E120" s="21">
        <v>81119.0</v>
      </c>
      <c r="F120" s="21">
        <v>7.74</v>
      </c>
      <c r="G120" s="21">
        <v>35359.0</v>
      </c>
    </row>
    <row r="121" ht="14.25" customHeight="1">
      <c r="A121" s="21" t="s">
        <v>405</v>
      </c>
      <c r="B121" s="21" t="s">
        <v>376</v>
      </c>
      <c r="C121" s="21">
        <v>1900.0</v>
      </c>
      <c r="D121" s="21">
        <v>311.0</v>
      </c>
      <c r="E121" s="21">
        <v>25177.0</v>
      </c>
      <c r="F121" s="21">
        <v>2.89</v>
      </c>
      <c r="G121" s="21">
        <v>14154.0</v>
      </c>
    </row>
    <row r="122" ht="14.25" customHeight="1">
      <c r="A122" s="21" t="s">
        <v>406</v>
      </c>
      <c r="B122" s="21" t="s">
        <v>373</v>
      </c>
      <c r="C122" s="21">
        <v>1814.0</v>
      </c>
      <c r="D122" s="21">
        <v>49.0</v>
      </c>
      <c r="E122" s="21">
        <v>140804.0</v>
      </c>
      <c r="F122" s="21">
        <v>1.76</v>
      </c>
      <c r="G122" s="21">
        <v>4313.0</v>
      </c>
    </row>
    <row r="123" ht="14.25" customHeight="1">
      <c r="A123" s="21" t="s">
        <v>406</v>
      </c>
      <c r="B123" s="21" t="s">
        <v>374</v>
      </c>
      <c r="C123" s="21">
        <v>1980.0</v>
      </c>
      <c r="D123" s="21">
        <v>204.0</v>
      </c>
      <c r="E123" s="21">
        <v>379431.0</v>
      </c>
      <c r="F123" s="21">
        <v>3.09</v>
      </c>
      <c r="G123" s="21">
        <v>25140.0</v>
      </c>
    </row>
    <row r="124" ht="14.25" customHeight="1">
      <c r="A124" s="21" t="s">
        <v>406</v>
      </c>
      <c r="B124" s="21" t="s">
        <v>375</v>
      </c>
      <c r="C124" s="21">
        <v>1786.0</v>
      </c>
      <c r="D124" s="21">
        <v>257.0</v>
      </c>
      <c r="E124" s="21">
        <v>274831.0</v>
      </c>
      <c r="F124" s="21">
        <v>4.68</v>
      </c>
      <c r="G124" s="21">
        <v>9118.0</v>
      </c>
    </row>
    <row r="125" ht="14.25" customHeight="1">
      <c r="A125" s="21" t="s">
        <v>406</v>
      </c>
      <c r="B125" s="21" t="s">
        <v>376</v>
      </c>
      <c r="C125" s="21">
        <v>1495.0</v>
      </c>
      <c r="D125" s="21">
        <v>35.0</v>
      </c>
      <c r="E125" s="21">
        <v>136845.0</v>
      </c>
      <c r="F125" s="21">
        <v>4.48</v>
      </c>
      <c r="G125" s="21">
        <v>39931.0</v>
      </c>
    </row>
    <row r="126" ht="14.25" customHeight="1">
      <c r="A126" s="21" t="s">
        <v>407</v>
      </c>
      <c r="B126" s="21" t="s">
        <v>373</v>
      </c>
      <c r="C126" s="21">
        <v>1013.0</v>
      </c>
      <c r="D126" s="21">
        <v>110.0</v>
      </c>
      <c r="E126" s="21">
        <v>466382.0</v>
      </c>
      <c r="F126" s="21">
        <v>5.3</v>
      </c>
      <c r="G126" s="21">
        <v>37132.0</v>
      </c>
    </row>
    <row r="127" ht="14.25" customHeight="1">
      <c r="A127" s="21" t="s">
        <v>407</v>
      </c>
      <c r="B127" s="21" t="s">
        <v>374</v>
      </c>
      <c r="C127" s="21">
        <v>816.0</v>
      </c>
      <c r="D127" s="21">
        <v>196.0</v>
      </c>
      <c r="E127" s="21">
        <v>95728.0</v>
      </c>
      <c r="F127" s="21">
        <v>8.2</v>
      </c>
      <c r="G127" s="21">
        <v>17951.0</v>
      </c>
    </row>
    <row r="128" ht="14.25" customHeight="1">
      <c r="A128" s="21" t="s">
        <v>407</v>
      </c>
      <c r="B128" s="21" t="s">
        <v>375</v>
      </c>
      <c r="C128" s="21">
        <v>1633.0</v>
      </c>
      <c r="D128" s="21">
        <v>445.0</v>
      </c>
      <c r="E128" s="21">
        <v>371156.0</v>
      </c>
      <c r="F128" s="21">
        <v>2.22</v>
      </c>
      <c r="G128" s="21">
        <v>2798.0</v>
      </c>
    </row>
    <row r="129" ht="14.25" customHeight="1">
      <c r="A129" s="21" t="s">
        <v>407</v>
      </c>
      <c r="B129" s="21" t="s">
        <v>376</v>
      </c>
      <c r="C129" s="21">
        <v>891.0</v>
      </c>
      <c r="D129" s="21">
        <v>45.0</v>
      </c>
      <c r="E129" s="21">
        <v>95410.0</v>
      </c>
      <c r="F129" s="21">
        <v>8.33</v>
      </c>
      <c r="G129" s="21">
        <v>15045.0</v>
      </c>
    </row>
    <row r="130" ht="14.25" customHeight="1">
      <c r="A130" s="21" t="s">
        <v>408</v>
      </c>
      <c r="B130" s="21" t="s">
        <v>373</v>
      </c>
      <c r="C130" s="21">
        <v>1855.0</v>
      </c>
      <c r="D130" s="21">
        <v>133.0</v>
      </c>
      <c r="E130" s="21">
        <v>349413.0</v>
      </c>
      <c r="F130" s="21">
        <v>3.3</v>
      </c>
      <c r="G130" s="21">
        <v>14548.0</v>
      </c>
    </row>
    <row r="131" ht="14.25" customHeight="1">
      <c r="A131" s="21" t="s">
        <v>408</v>
      </c>
      <c r="B131" s="21" t="s">
        <v>374</v>
      </c>
      <c r="C131" s="21">
        <v>651.0</v>
      </c>
      <c r="D131" s="21">
        <v>353.0</v>
      </c>
      <c r="E131" s="21">
        <v>224699.0</v>
      </c>
      <c r="F131" s="21">
        <v>5.61</v>
      </c>
      <c r="G131" s="21">
        <v>45708.0</v>
      </c>
    </row>
    <row r="132" ht="14.25" customHeight="1">
      <c r="A132" s="21" t="s">
        <v>408</v>
      </c>
      <c r="B132" s="21" t="s">
        <v>375</v>
      </c>
      <c r="C132" s="21">
        <v>118.0</v>
      </c>
      <c r="D132" s="21">
        <v>262.0</v>
      </c>
      <c r="E132" s="21">
        <v>487896.0</v>
      </c>
      <c r="F132" s="21">
        <v>2.56</v>
      </c>
      <c r="G132" s="21">
        <v>12350.0</v>
      </c>
    </row>
    <row r="133" ht="14.25" customHeight="1">
      <c r="A133" s="21" t="s">
        <v>408</v>
      </c>
      <c r="B133" s="21" t="s">
        <v>376</v>
      </c>
      <c r="C133" s="21">
        <v>1331.0</v>
      </c>
      <c r="D133" s="21">
        <v>430.0</v>
      </c>
      <c r="E133" s="21">
        <v>14437.0</v>
      </c>
      <c r="F133" s="21">
        <v>3.29</v>
      </c>
      <c r="G133" s="21">
        <v>40868.0</v>
      </c>
    </row>
    <row r="134" ht="14.25" customHeight="1">
      <c r="A134" s="21" t="s">
        <v>409</v>
      </c>
      <c r="B134" s="21" t="s">
        <v>373</v>
      </c>
      <c r="C134" s="21">
        <v>1748.0</v>
      </c>
      <c r="D134" s="21">
        <v>176.0</v>
      </c>
      <c r="E134" s="21">
        <v>383681.0</v>
      </c>
      <c r="F134" s="21">
        <v>9.24</v>
      </c>
      <c r="G134" s="21">
        <v>43122.0</v>
      </c>
    </row>
    <row r="135" ht="14.25" customHeight="1">
      <c r="A135" s="21" t="s">
        <v>409</v>
      </c>
      <c r="B135" s="21" t="s">
        <v>374</v>
      </c>
      <c r="C135" s="21">
        <v>663.0</v>
      </c>
      <c r="D135" s="21">
        <v>236.0</v>
      </c>
      <c r="E135" s="21">
        <v>479490.0</v>
      </c>
      <c r="F135" s="21">
        <v>4.51</v>
      </c>
      <c r="G135" s="21">
        <v>23853.0</v>
      </c>
    </row>
    <row r="136" ht="14.25" customHeight="1">
      <c r="A136" s="21" t="s">
        <v>409</v>
      </c>
      <c r="B136" s="21" t="s">
        <v>375</v>
      </c>
      <c r="C136" s="21">
        <v>1040.0</v>
      </c>
      <c r="D136" s="21">
        <v>149.0</v>
      </c>
      <c r="E136" s="21">
        <v>124404.0</v>
      </c>
      <c r="F136" s="21">
        <v>5.23</v>
      </c>
      <c r="G136" s="21">
        <v>45380.0</v>
      </c>
    </row>
    <row r="137" ht="14.25" customHeight="1">
      <c r="A137" s="21" t="s">
        <v>409</v>
      </c>
      <c r="B137" s="21" t="s">
        <v>376</v>
      </c>
      <c r="C137" s="21">
        <v>1166.0</v>
      </c>
      <c r="D137" s="21">
        <v>442.0</v>
      </c>
      <c r="E137" s="21">
        <v>336949.0</v>
      </c>
      <c r="F137" s="21">
        <v>4.68</v>
      </c>
      <c r="G137" s="21">
        <v>7705.0</v>
      </c>
    </row>
    <row r="138" ht="14.25" customHeight="1">
      <c r="A138" s="21" t="s">
        <v>410</v>
      </c>
      <c r="B138" s="21" t="s">
        <v>373</v>
      </c>
      <c r="C138" s="21">
        <v>115.0</v>
      </c>
      <c r="D138" s="21">
        <v>281.0</v>
      </c>
      <c r="E138" s="21">
        <v>357265.0</v>
      </c>
      <c r="F138" s="21">
        <v>9.23</v>
      </c>
      <c r="G138" s="21">
        <v>25525.0</v>
      </c>
    </row>
    <row r="139" ht="14.25" customHeight="1">
      <c r="A139" s="21" t="s">
        <v>410</v>
      </c>
      <c r="B139" s="21" t="s">
        <v>374</v>
      </c>
      <c r="C139" s="21">
        <v>1249.0</v>
      </c>
      <c r="D139" s="21">
        <v>351.0</v>
      </c>
      <c r="E139" s="21">
        <v>321307.0</v>
      </c>
      <c r="F139" s="21">
        <v>6.37</v>
      </c>
      <c r="G139" s="21">
        <v>20560.0</v>
      </c>
    </row>
    <row r="140" ht="14.25" customHeight="1">
      <c r="A140" s="21" t="s">
        <v>410</v>
      </c>
      <c r="B140" s="21" t="s">
        <v>375</v>
      </c>
      <c r="C140" s="21">
        <v>1501.0</v>
      </c>
      <c r="D140" s="21">
        <v>75.0</v>
      </c>
      <c r="E140" s="21">
        <v>262569.0</v>
      </c>
      <c r="F140" s="21">
        <v>2.01</v>
      </c>
      <c r="G140" s="21">
        <v>19119.0</v>
      </c>
    </row>
    <row r="141" ht="14.25" customHeight="1">
      <c r="A141" s="21" t="s">
        <v>410</v>
      </c>
      <c r="B141" s="21" t="s">
        <v>376</v>
      </c>
      <c r="C141" s="21">
        <v>1411.0</v>
      </c>
      <c r="D141" s="21">
        <v>186.0</v>
      </c>
      <c r="E141" s="21">
        <v>461669.0</v>
      </c>
      <c r="F141" s="21">
        <v>3.72</v>
      </c>
      <c r="G141" s="21">
        <v>43999.0</v>
      </c>
    </row>
    <row r="142" ht="14.25" customHeight="1">
      <c r="A142" s="21" t="s">
        <v>411</v>
      </c>
      <c r="B142" s="21" t="s">
        <v>373</v>
      </c>
      <c r="C142" s="21">
        <v>1556.0</v>
      </c>
      <c r="D142" s="21">
        <v>476.0</v>
      </c>
      <c r="E142" s="21">
        <v>351556.0</v>
      </c>
      <c r="F142" s="21">
        <v>3.89</v>
      </c>
      <c r="G142" s="21">
        <v>10825.0</v>
      </c>
    </row>
    <row r="143" ht="14.25" customHeight="1">
      <c r="A143" s="21" t="s">
        <v>411</v>
      </c>
      <c r="B143" s="21" t="s">
        <v>374</v>
      </c>
      <c r="C143" s="21">
        <v>1159.0</v>
      </c>
      <c r="D143" s="21">
        <v>411.0</v>
      </c>
      <c r="E143" s="21">
        <v>135987.0</v>
      </c>
      <c r="F143" s="21">
        <v>8.7</v>
      </c>
      <c r="G143" s="21">
        <v>40323.0</v>
      </c>
    </row>
    <row r="144" ht="14.25" customHeight="1">
      <c r="A144" s="21" t="s">
        <v>411</v>
      </c>
      <c r="B144" s="21" t="s">
        <v>375</v>
      </c>
      <c r="C144" s="21">
        <v>927.0</v>
      </c>
      <c r="D144" s="21">
        <v>358.0</v>
      </c>
      <c r="E144" s="21">
        <v>177554.0</v>
      </c>
      <c r="F144" s="21">
        <v>6.95</v>
      </c>
      <c r="G144" s="21">
        <v>48270.0</v>
      </c>
    </row>
    <row r="145" ht="14.25" customHeight="1">
      <c r="A145" s="21" t="s">
        <v>411</v>
      </c>
      <c r="B145" s="21" t="s">
        <v>376</v>
      </c>
      <c r="C145" s="21">
        <v>152.0</v>
      </c>
      <c r="D145" s="21">
        <v>355.0</v>
      </c>
      <c r="E145" s="21">
        <v>270766.0</v>
      </c>
      <c r="F145" s="21">
        <v>9.48</v>
      </c>
      <c r="G145" s="21">
        <v>18001.0</v>
      </c>
    </row>
    <row r="146" ht="14.25" customHeight="1">
      <c r="A146" s="21" t="s">
        <v>412</v>
      </c>
      <c r="B146" s="21" t="s">
        <v>373</v>
      </c>
      <c r="C146" s="21">
        <v>1957.0</v>
      </c>
      <c r="D146" s="21">
        <v>234.0</v>
      </c>
      <c r="E146" s="21">
        <v>222126.0</v>
      </c>
      <c r="F146" s="21">
        <v>4.61</v>
      </c>
      <c r="G146" s="21">
        <v>3314.0</v>
      </c>
    </row>
    <row r="147" ht="14.25" customHeight="1">
      <c r="A147" s="21" t="s">
        <v>412</v>
      </c>
      <c r="B147" s="21" t="s">
        <v>374</v>
      </c>
      <c r="C147" s="21">
        <v>1294.0</v>
      </c>
      <c r="D147" s="21">
        <v>382.0</v>
      </c>
      <c r="E147" s="21">
        <v>309914.0</v>
      </c>
      <c r="F147" s="21">
        <v>8.03</v>
      </c>
      <c r="G147" s="21">
        <v>23489.0</v>
      </c>
    </row>
    <row r="148" ht="14.25" customHeight="1">
      <c r="A148" s="21" t="s">
        <v>412</v>
      </c>
      <c r="B148" s="21" t="s">
        <v>375</v>
      </c>
      <c r="C148" s="21">
        <v>1587.0</v>
      </c>
      <c r="D148" s="21">
        <v>385.0</v>
      </c>
      <c r="E148" s="21">
        <v>126582.0</v>
      </c>
      <c r="F148" s="21">
        <v>6.99</v>
      </c>
      <c r="G148" s="21">
        <v>42832.0</v>
      </c>
    </row>
    <row r="149" ht="14.25" customHeight="1">
      <c r="A149" s="21" t="s">
        <v>412</v>
      </c>
      <c r="B149" s="21" t="s">
        <v>376</v>
      </c>
      <c r="C149" s="21">
        <v>1707.0</v>
      </c>
      <c r="D149" s="21">
        <v>263.0</v>
      </c>
      <c r="E149" s="21">
        <v>485280.0</v>
      </c>
      <c r="F149" s="21">
        <v>9.03</v>
      </c>
      <c r="G149" s="21">
        <v>24494.0</v>
      </c>
    </row>
    <row r="150" ht="14.25" customHeight="1">
      <c r="A150" s="21" t="s">
        <v>413</v>
      </c>
      <c r="B150" s="21" t="s">
        <v>373</v>
      </c>
      <c r="C150" s="21">
        <v>1138.0</v>
      </c>
      <c r="D150" s="21">
        <v>173.0</v>
      </c>
      <c r="E150" s="21">
        <v>453243.0</v>
      </c>
      <c r="F150" s="21">
        <v>2.86</v>
      </c>
      <c r="G150" s="21">
        <v>44097.0</v>
      </c>
    </row>
    <row r="151" ht="14.25" customHeight="1">
      <c r="A151" s="21" t="s">
        <v>413</v>
      </c>
      <c r="B151" s="21" t="s">
        <v>374</v>
      </c>
      <c r="C151" s="21">
        <v>1895.0</v>
      </c>
      <c r="D151" s="21">
        <v>305.0</v>
      </c>
      <c r="E151" s="21">
        <v>104967.0</v>
      </c>
      <c r="F151" s="21">
        <v>3.85</v>
      </c>
      <c r="G151" s="21">
        <v>31853.0</v>
      </c>
    </row>
    <row r="152" ht="14.25" customHeight="1">
      <c r="A152" s="21" t="s">
        <v>413</v>
      </c>
      <c r="B152" s="21" t="s">
        <v>375</v>
      </c>
      <c r="C152" s="21">
        <v>362.0</v>
      </c>
      <c r="D152" s="21">
        <v>399.0</v>
      </c>
      <c r="E152" s="21">
        <v>145608.0</v>
      </c>
      <c r="F152" s="21">
        <v>7.3</v>
      </c>
      <c r="G152" s="21">
        <v>37636.0</v>
      </c>
    </row>
    <row r="153" ht="14.25" customHeight="1">
      <c r="A153" s="21" t="s">
        <v>413</v>
      </c>
      <c r="B153" s="21" t="s">
        <v>376</v>
      </c>
      <c r="C153" s="21">
        <v>1662.0</v>
      </c>
      <c r="D153" s="21">
        <v>487.0</v>
      </c>
      <c r="E153" s="21">
        <v>105980.0</v>
      </c>
      <c r="F153" s="21">
        <v>9.08</v>
      </c>
      <c r="G153" s="21">
        <v>22996.0</v>
      </c>
    </row>
    <row r="154" ht="14.25" customHeight="1">
      <c r="A154" s="21" t="s">
        <v>414</v>
      </c>
      <c r="B154" s="21" t="s">
        <v>373</v>
      </c>
      <c r="C154" s="21">
        <v>1440.0</v>
      </c>
      <c r="D154" s="21">
        <v>65.0</v>
      </c>
      <c r="E154" s="21">
        <v>126524.0</v>
      </c>
      <c r="F154" s="21">
        <v>4.34</v>
      </c>
      <c r="G154" s="21">
        <v>49772.0</v>
      </c>
    </row>
    <row r="155" ht="14.25" customHeight="1">
      <c r="A155" s="21" t="s">
        <v>414</v>
      </c>
      <c r="B155" s="21" t="s">
        <v>374</v>
      </c>
      <c r="C155" s="21">
        <v>1884.0</v>
      </c>
      <c r="D155" s="21">
        <v>177.0</v>
      </c>
      <c r="E155" s="21">
        <v>230448.0</v>
      </c>
      <c r="F155" s="21">
        <v>7.8</v>
      </c>
      <c r="G155" s="21">
        <v>22713.0</v>
      </c>
    </row>
    <row r="156" ht="14.25" customHeight="1">
      <c r="A156" s="21" t="s">
        <v>414</v>
      </c>
      <c r="B156" s="21" t="s">
        <v>375</v>
      </c>
      <c r="C156" s="21">
        <v>861.0</v>
      </c>
      <c r="D156" s="21">
        <v>153.0</v>
      </c>
      <c r="E156" s="21">
        <v>317007.0</v>
      </c>
      <c r="F156" s="21">
        <v>3.85</v>
      </c>
      <c r="G156" s="21">
        <v>8718.0</v>
      </c>
    </row>
    <row r="157" ht="14.25" customHeight="1">
      <c r="A157" s="21" t="s">
        <v>414</v>
      </c>
      <c r="B157" s="21" t="s">
        <v>376</v>
      </c>
      <c r="C157" s="21">
        <v>1063.0</v>
      </c>
      <c r="D157" s="21">
        <v>47.0</v>
      </c>
      <c r="E157" s="21">
        <v>464239.0</v>
      </c>
      <c r="F157" s="21">
        <v>6.58</v>
      </c>
      <c r="G157" s="21">
        <v>39031.0</v>
      </c>
    </row>
    <row r="158" ht="14.25" customHeight="1">
      <c r="A158" s="21" t="s">
        <v>415</v>
      </c>
      <c r="B158" s="21" t="s">
        <v>373</v>
      </c>
      <c r="C158" s="21">
        <v>1371.0</v>
      </c>
      <c r="D158" s="21">
        <v>56.0</v>
      </c>
      <c r="E158" s="21">
        <v>257579.0</v>
      </c>
      <c r="F158" s="21">
        <v>8.62</v>
      </c>
      <c r="G158" s="21">
        <v>33799.0</v>
      </c>
    </row>
    <row r="159" ht="14.25" customHeight="1">
      <c r="A159" s="21" t="s">
        <v>415</v>
      </c>
      <c r="B159" s="21" t="s">
        <v>374</v>
      </c>
      <c r="C159" s="21">
        <v>345.0</v>
      </c>
      <c r="D159" s="21">
        <v>464.0</v>
      </c>
      <c r="E159" s="21">
        <v>366881.0</v>
      </c>
      <c r="F159" s="21">
        <v>4.55</v>
      </c>
      <c r="G159" s="21">
        <v>20553.0</v>
      </c>
    </row>
    <row r="160" ht="14.25" customHeight="1">
      <c r="A160" s="21" t="s">
        <v>415</v>
      </c>
      <c r="B160" s="21" t="s">
        <v>375</v>
      </c>
      <c r="C160" s="21">
        <v>946.0</v>
      </c>
      <c r="D160" s="21">
        <v>47.0</v>
      </c>
      <c r="E160" s="21">
        <v>466575.0</v>
      </c>
      <c r="F160" s="21">
        <v>8.33</v>
      </c>
      <c r="G160" s="21">
        <v>10002.0</v>
      </c>
    </row>
    <row r="161" ht="14.25" customHeight="1">
      <c r="A161" s="21" t="s">
        <v>415</v>
      </c>
      <c r="B161" s="21" t="s">
        <v>376</v>
      </c>
      <c r="C161" s="21">
        <v>510.0</v>
      </c>
      <c r="D161" s="21">
        <v>195.0</v>
      </c>
      <c r="E161" s="21">
        <v>224534.0</v>
      </c>
      <c r="F161" s="21">
        <v>9.4</v>
      </c>
      <c r="G161" s="21">
        <v>30987.0</v>
      </c>
    </row>
    <row r="162" ht="14.25" customHeight="1">
      <c r="A162" s="21" t="s">
        <v>416</v>
      </c>
      <c r="B162" s="21" t="s">
        <v>373</v>
      </c>
      <c r="C162" s="21">
        <v>393.0</v>
      </c>
      <c r="D162" s="21">
        <v>181.0</v>
      </c>
      <c r="E162" s="21">
        <v>462142.0</v>
      </c>
      <c r="F162" s="21">
        <v>7.23</v>
      </c>
      <c r="G162" s="21">
        <v>6296.0</v>
      </c>
    </row>
    <row r="163" ht="14.25" customHeight="1">
      <c r="A163" s="21" t="s">
        <v>416</v>
      </c>
      <c r="B163" s="21" t="s">
        <v>374</v>
      </c>
      <c r="C163" s="21">
        <v>1098.0</v>
      </c>
      <c r="D163" s="21">
        <v>190.0</v>
      </c>
      <c r="E163" s="21">
        <v>340842.0</v>
      </c>
      <c r="F163" s="21">
        <v>9.39</v>
      </c>
      <c r="G163" s="21">
        <v>21539.0</v>
      </c>
    </row>
    <row r="164" ht="14.25" customHeight="1">
      <c r="A164" s="21" t="s">
        <v>416</v>
      </c>
      <c r="B164" s="21" t="s">
        <v>375</v>
      </c>
      <c r="C164" s="21">
        <v>1399.0</v>
      </c>
      <c r="D164" s="21">
        <v>49.0</v>
      </c>
      <c r="E164" s="21">
        <v>12471.0</v>
      </c>
      <c r="F164" s="21">
        <v>5.12</v>
      </c>
      <c r="G164" s="21">
        <v>14722.0</v>
      </c>
    </row>
    <row r="165" ht="14.25" customHeight="1">
      <c r="A165" s="21" t="s">
        <v>416</v>
      </c>
      <c r="B165" s="21" t="s">
        <v>376</v>
      </c>
      <c r="C165" s="21">
        <v>1658.0</v>
      </c>
      <c r="D165" s="21">
        <v>416.0</v>
      </c>
      <c r="E165" s="21">
        <v>98397.0</v>
      </c>
      <c r="F165" s="21">
        <v>6.11</v>
      </c>
      <c r="G165" s="21">
        <v>11383.0</v>
      </c>
    </row>
    <row r="166" ht="14.25" customHeight="1">
      <c r="A166" s="21" t="s">
        <v>417</v>
      </c>
      <c r="B166" s="21" t="s">
        <v>373</v>
      </c>
      <c r="C166" s="21">
        <v>1102.0</v>
      </c>
      <c r="D166" s="21">
        <v>422.0</v>
      </c>
      <c r="E166" s="21">
        <v>410330.0</v>
      </c>
      <c r="F166" s="21">
        <v>7.74</v>
      </c>
      <c r="G166" s="21">
        <v>9480.0</v>
      </c>
    </row>
    <row r="167" ht="14.25" customHeight="1">
      <c r="A167" s="21" t="s">
        <v>417</v>
      </c>
      <c r="B167" s="21" t="s">
        <v>374</v>
      </c>
      <c r="C167" s="21">
        <v>1358.0</v>
      </c>
      <c r="D167" s="21">
        <v>242.0</v>
      </c>
      <c r="E167" s="21">
        <v>342129.0</v>
      </c>
      <c r="F167" s="21">
        <v>4.94</v>
      </c>
      <c r="G167" s="21">
        <v>29116.0</v>
      </c>
    </row>
    <row r="168" ht="14.25" customHeight="1">
      <c r="A168" s="21" t="s">
        <v>417</v>
      </c>
      <c r="B168" s="21" t="s">
        <v>375</v>
      </c>
      <c r="C168" s="21">
        <v>1077.0</v>
      </c>
      <c r="D168" s="21">
        <v>216.0</v>
      </c>
      <c r="E168" s="21">
        <v>12447.0</v>
      </c>
      <c r="F168" s="21">
        <v>1.8</v>
      </c>
      <c r="G168" s="21">
        <v>14068.0</v>
      </c>
    </row>
    <row r="169" ht="14.25" customHeight="1">
      <c r="A169" s="21" t="s">
        <v>417</v>
      </c>
      <c r="B169" s="21" t="s">
        <v>376</v>
      </c>
      <c r="C169" s="21">
        <v>1596.0</v>
      </c>
      <c r="D169" s="21">
        <v>211.0</v>
      </c>
      <c r="E169" s="21">
        <v>17380.0</v>
      </c>
      <c r="F169" s="21">
        <v>8.64</v>
      </c>
      <c r="G169" s="21">
        <v>35801.0</v>
      </c>
    </row>
    <row r="170" ht="14.25" customHeight="1">
      <c r="A170" s="21" t="s">
        <v>418</v>
      </c>
      <c r="B170" s="21" t="s">
        <v>373</v>
      </c>
      <c r="C170" s="21">
        <v>490.0</v>
      </c>
      <c r="D170" s="21">
        <v>29.0</v>
      </c>
      <c r="E170" s="21">
        <v>364810.0</v>
      </c>
      <c r="F170" s="21">
        <v>1.53</v>
      </c>
      <c r="G170" s="21">
        <v>49077.0</v>
      </c>
    </row>
    <row r="171" ht="14.25" customHeight="1">
      <c r="A171" s="21" t="s">
        <v>418</v>
      </c>
      <c r="B171" s="21" t="s">
        <v>374</v>
      </c>
      <c r="C171" s="21">
        <v>609.0</v>
      </c>
      <c r="D171" s="21">
        <v>135.0</v>
      </c>
      <c r="E171" s="21">
        <v>373606.0</v>
      </c>
      <c r="F171" s="21">
        <v>8.52</v>
      </c>
      <c r="G171" s="21">
        <v>21453.0</v>
      </c>
    </row>
    <row r="172" ht="14.25" customHeight="1">
      <c r="A172" s="21" t="s">
        <v>418</v>
      </c>
      <c r="B172" s="21" t="s">
        <v>375</v>
      </c>
      <c r="C172" s="21">
        <v>364.0</v>
      </c>
      <c r="D172" s="21">
        <v>72.0</v>
      </c>
      <c r="E172" s="21">
        <v>211090.0</v>
      </c>
      <c r="F172" s="21">
        <v>5.53</v>
      </c>
      <c r="G172" s="21">
        <v>21061.0</v>
      </c>
    </row>
    <row r="173" ht="14.25" customHeight="1">
      <c r="A173" s="21" t="s">
        <v>418</v>
      </c>
      <c r="B173" s="21" t="s">
        <v>376</v>
      </c>
      <c r="C173" s="21">
        <v>442.0</v>
      </c>
      <c r="D173" s="21">
        <v>53.0</v>
      </c>
      <c r="E173" s="21">
        <v>441931.0</v>
      </c>
      <c r="F173" s="21">
        <v>1.87</v>
      </c>
      <c r="G173" s="21">
        <v>20059.0</v>
      </c>
    </row>
    <row r="174" ht="14.25" customHeight="1">
      <c r="A174" s="21" t="s">
        <v>419</v>
      </c>
      <c r="B174" s="21" t="s">
        <v>373</v>
      </c>
      <c r="C174" s="21">
        <v>1033.0</v>
      </c>
      <c r="D174" s="21">
        <v>392.0</v>
      </c>
      <c r="E174" s="21">
        <v>282780.0</v>
      </c>
      <c r="F174" s="21">
        <v>6.27</v>
      </c>
      <c r="G174" s="21">
        <v>23140.0</v>
      </c>
    </row>
    <row r="175" ht="14.25" customHeight="1">
      <c r="A175" s="21" t="s">
        <v>419</v>
      </c>
      <c r="B175" s="21" t="s">
        <v>374</v>
      </c>
      <c r="C175" s="21">
        <v>988.0</v>
      </c>
      <c r="D175" s="21">
        <v>474.0</v>
      </c>
      <c r="E175" s="21">
        <v>370070.0</v>
      </c>
      <c r="F175" s="21">
        <v>9.46</v>
      </c>
      <c r="G175" s="21">
        <v>23461.0</v>
      </c>
    </row>
    <row r="176" ht="14.25" customHeight="1">
      <c r="A176" s="21" t="s">
        <v>419</v>
      </c>
      <c r="B176" s="21" t="s">
        <v>375</v>
      </c>
      <c r="C176" s="21">
        <v>1946.0</v>
      </c>
      <c r="D176" s="21">
        <v>270.0</v>
      </c>
      <c r="E176" s="21">
        <v>198350.0</v>
      </c>
      <c r="F176" s="21">
        <v>7.5</v>
      </c>
      <c r="G176" s="21">
        <v>11805.0</v>
      </c>
    </row>
    <row r="177" ht="14.25" customHeight="1">
      <c r="A177" s="21" t="s">
        <v>419</v>
      </c>
      <c r="B177" s="21" t="s">
        <v>376</v>
      </c>
      <c r="C177" s="21">
        <v>1957.0</v>
      </c>
      <c r="D177" s="21">
        <v>490.0</v>
      </c>
      <c r="E177" s="21">
        <v>435726.0</v>
      </c>
      <c r="F177" s="21">
        <v>4.73</v>
      </c>
      <c r="G177" s="21">
        <v>15969.0</v>
      </c>
    </row>
    <row r="178" ht="14.25" customHeight="1">
      <c r="A178" s="21" t="s">
        <v>420</v>
      </c>
      <c r="B178" s="21" t="s">
        <v>373</v>
      </c>
      <c r="C178" s="21">
        <v>559.0</v>
      </c>
      <c r="D178" s="21">
        <v>392.0</v>
      </c>
      <c r="E178" s="21">
        <v>78789.0</v>
      </c>
      <c r="F178" s="21">
        <v>3.19</v>
      </c>
      <c r="G178" s="21">
        <v>2436.0</v>
      </c>
    </row>
    <row r="179" ht="14.25" customHeight="1">
      <c r="A179" s="21" t="s">
        <v>420</v>
      </c>
      <c r="B179" s="21" t="s">
        <v>374</v>
      </c>
      <c r="C179" s="21">
        <v>1307.0</v>
      </c>
      <c r="D179" s="21">
        <v>278.0</v>
      </c>
      <c r="E179" s="21">
        <v>98596.0</v>
      </c>
      <c r="F179" s="21">
        <v>2.49</v>
      </c>
      <c r="G179" s="21">
        <v>47603.0</v>
      </c>
    </row>
    <row r="180" ht="14.25" customHeight="1">
      <c r="A180" s="21" t="s">
        <v>420</v>
      </c>
      <c r="B180" s="21" t="s">
        <v>375</v>
      </c>
      <c r="C180" s="21">
        <v>1432.0</v>
      </c>
      <c r="D180" s="21">
        <v>425.0</v>
      </c>
      <c r="E180" s="21">
        <v>29589.0</v>
      </c>
      <c r="F180" s="21">
        <v>4.5</v>
      </c>
      <c r="G180" s="21">
        <v>42964.0</v>
      </c>
    </row>
    <row r="181" ht="14.25" customHeight="1">
      <c r="A181" s="21" t="s">
        <v>420</v>
      </c>
      <c r="B181" s="21" t="s">
        <v>376</v>
      </c>
      <c r="C181" s="21">
        <v>623.0</v>
      </c>
      <c r="D181" s="21">
        <v>414.0</v>
      </c>
      <c r="E181" s="21">
        <v>290354.0</v>
      </c>
      <c r="F181" s="21">
        <v>6.49</v>
      </c>
      <c r="G181" s="21">
        <v>39923.0</v>
      </c>
    </row>
    <row r="182" ht="14.25" customHeight="1">
      <c r="A182" s="21" t="s">
        <v>421</v>
      </c>
      <c r="B182" s="21" t="s">
        <v>373</v>
      </c>
      <c r="C182" s="21">
        <v>198.0</v>
      </c>
      <c r="D182" s="21">
        <v>358.0</v>
      </c>
      <c r="E182" s="21">
        <v>66682.0</v>
      </c>
      <c r="F182" s="21">
        <v>6.73</v>
      </c>
      <c r="G182" s="21">
        <v>2293.0</v>
      </c>
    </row>
    <row r="183" ht="14.25" customHeight="1">
      <c r="A183" s="21" t="s">
        <v>421</v>
      </c>
      <c r="B183" s="21" t="s">
        <v>374</v>
      </c>
      <c r="C183" s="21">
        <v>198.0</v>
      </c>
      <c r="D183" s="21">
        <v>373.0</v>
      </c>
      <c r="E183" s="21">
        <v>70707.0</v>
      </c>
      <c r="F183" s="21">
        <v>4.83</v>
      </c>
      <c r="G183" s="21">
        <v>25920.0</v>
      </c>
    </row>
    <row r="184" ht="14.25" customHeight="1">
      <c r="A184" s="21" t="s">
        <v>421</v>
      </c>
      <c r="B184" s="21" t="s">
        <v>375</v>
      </c>
      <c r="C184" s="21">
        <v>353.0</v>
      </c>
      <c r="D184" s="21">
        <v>300.0</v>
      </c>
      <c r="E184" s="21">
        <v>142507.0</v>
      </c>
      <c r="F184" s="21">
        <v>5.3</v>
      </c>
      <c r="G184" s="21">
        <v>11035.0</v>
      </c>
    </row>
    <row r="185" ht="14.25" customHeight="1">
      <c r="A185" s="21" t="s">
        <v>421</v>
      </c>
      <c r="B185" s="21" t="s">
        <v>376</v>
      </c>
      <c r="C185" s="21">
        <v>520.0</v>
      </c>
      <c r="D185" s="21">
        <v>375.0</v>
      </c>
      <c r="E185" s="21">
        <v>369525.0</v>
      </c>
      <c r="F185" s="21">
        <v>6.54</v>
      </c>
      <c r="G185" s="21">
        <v>20733.0</v>
      </c>
    </row>
    <row r="186" ht="14.25" customHeight="1">
      <c r="A186" s="21" t="s">
        <v>422</v>
      </c>
      <c r="B186" s="21" t="s">
        <v>373</v>
      </c>
      <c r="C186" s="21">
        <v>961.0</v>
      </c>
      <c r="D186" s="21">
        <v>358.0</v>
      </c>
      <c r="E186" s="21">
        <v>62942.0</v>
      </c>
      <c r="F186" s="21">
        <v>6.8</v>
      </c>
      <c r="G186" s="21">
        <v>18693.0</v>
      </c>
    </row>
    <row r="187" ht="14.25" customHeight="1">
      <c r="A187" s="21" t="s">
        <v>422</v>
      </c>
      <c r="B187" s="21" t="s">
        <v>374</v>
      </c>
      <c r="C187" s="21">
        <v>1375.0</v>
      </c>
      <c r="D187" s="21">
        <v>330.0</v>
      </c>
      <c r="E187" s="21">
        <v>377382.0</v>
      </c>
      <c r="F187" s="21">
        <v>2.6</v>
      </c>
      <c r="G187" s="21">
        <v>7875.0</v>
      </c>
    </row>
    <row r="188" ht="14.25" customHeight="1">
      <c r="A188" s="21" t="s">
        <v>422</v>
      </c>
      <c r="B188" s="21" t="s">
        <v>375</v>
      </c>
      <c r="C188" s="21">
        <v>1147.0</v>
      </c>
      <c r="D188" s="21">
        <v>388.0</v>
      </c>
      <c r="E188" s="21">
        <v>333851.0</v>
      </c>
      <c r="F188" s="21">
        <v>2.44</v>
      </c>
      <c r="G188" s="21">
        <v>8471.0</v>
      </c>
    </row>
    <row r="189" ht="14.25" customHeight="1">
      <c r="A189" s="21" t="s">
        <v>422</v>
      </c>
      <c r="B189" s="21" t="s">
        <v>376</v>
      </c>
      <c r="C189" s="21">
        <v>1707.0</v>
      </c>
      <c r="D189" s="21">
        <v>74.0</v>
      </c>
      <c r="E189" s="21">
        <v>270958.0</v>
      </c>
      <c r="F189" s="21">
        <v>3.09</v>
      </c>
      <c r="G189" s="21">
        <v>14090.0</v>
      </c>
    </row>
    <row r="190" ht="14.25" customHeight="1">
      <c r="A190" s="21" t="s">
        <v>423</v>
      </c>
      <c r="B190" s="21" t="s">
        <v>373</v>
      </c>
      <c r="C190" s="21">
        <v>1693.0</v>
      </c>
      <c r="D190" s="21">
        <v>154.0</v>
      </c>
      <c r="E190" s="21">
        <v>445944.0</v>
      </c>
      <c r="F190" s="21">
        <v>5.69</v>
      </c>
      <c r="G190" s="21">
        <v>14216.0</v>
      </c>
    </row>
    <row r="191" ht="14.25" customHeight="1">
      <c r="A191" s="21" t="s">
        <v>423</v>
      </c>
      <c r="B191" s="21" t="s">
        <v>374</v>
      </c>
      <c r="C191" s="21">
        <v>833.0</v>
      </c>
      <c r="D191" s="21">
        <v>380.0</v>
      </c>
      <c r="E191" s="21">
        <v>224830.0</v>
      </c>
      <c r="F191" s="21">
        <v>3.86</v>
      </c>
      <c r="G191" s="21">
        <v>3582.0</v>
      </c>
    </row>
    <row r="192" ht="14.25" customHeight="1">
      <c r="A192" s="21" t="s">
        <v>423</v>
      </c>
      <c r="B192" s="21" t="s">
        <v>375</v>
      </c>
      <c r="C192" s="21">
        <v>1222.0</v>
      </c>
      <c r="D192" s="21">
        <v>274.0</v>
      </c>
      <c r="E192" s="21">
        <v>487289.0</v>
      </c>
      <c r="F192" s="21">
        <v>3.16</v>
      </c>
      <c r="G192" s="21">
        <v>32500.0</v>
      </c>
    </row>
    <row r="193" ht="14.25" customHeight="1">
      <c r="A193" s="21" t="s">
        <v>423</v>
      </c>
      <c r="B193" s="21" t="s">
        <v>376</v>
      </c>
      <c r="C193" s="21">
        <v>777.0</v>
      </c>
      <c r="D193" s="21">
        <v>140.0</v>
      </c>
      <c r="E193" s="21">
        <v>11435.0</v>
      </c>
      <c r="F193" s="21">
        <v>1.6</v>
      </c>
      <c r="G193" s="21">
        <v>6832.0</v>
      </c>
    </row>
    <row r="194" ht="14.25" customHeight="1">
      <c r="A194" s="21" t="s">
        <v>424</v>
      </c>
      <c r="B194" s="21" t="s">
        <v>373</v>
      </c>
      <c r="C194" s="21">
        <v>1957.0</v>
      </c>
      <c r="D194" s="21">
        <v>76.0</v>
      </c>
      <c r="E194" s="21">
        <v>447902.0</v>
      </c>
      <c r="F194" s="21">
        <v>6.09</v>
      </c>
      <c r="G194" s="21">
        <v>33381.0</v>
      </c>
    </row>
    <row r="195" ht="14.25" customHeight="1">
      <c r="A195" s="21" t="s">
        <v>424</v>
      </c>
      <c r="B195" s="21" t="s">
        <v>374</v>
      </c>
      <c r="C195" s="21">
        <v>405.0</v>
      </c>
      <c r="D195" s="21">
        <v>66.0</v>
      </c>
      <c r="E195" s="21">
        <v>418696.0</v>
      </c>
      <c r="F195" s="21">
        <v>5.59</v>
      </c>
      <c r="G195" s="21">
        <v>48419.0</v>
      </c>
    </row>
    <row r="196" ht="14.25" customHeight="1">
      <c r="A196" s="21" t="s">
        <v>424</v>
      </c>
      <c r="B196" s="21" t="s">
        <v>375</v>
      </c>
      <c r="C196" s="21">
        <v>1581.0</v>
      </c>
      <c r="D196" s="21">
        <v>71.0</v>
      </c>
      <c r="E196" s="21">
        <v>484364.0</v>
      </c>
      <c r="F196" s="21">
        <v>3.55</v>
      </c>
      <c r="G196" s="21">
        <v>16149.0</v>
      </c>
    </row>
    <row r="197" ht="14.25" customHeight="1">
      <c r="A197" s="21" t="s">
        <v>424</v>
      </c>
      <c r="B197" s="21" t="s">
        <v>376</v>
      </c>
      <c r="C197" s="21">
        <v>1035.0</v>
      </c>
      <c r="D197" s="21">
        <v>171.0</v>
      </c>
      <c r="E197" s="21">
        <v>148477.0</v>
      </c>
      <c r="F197" s="21">
        <v>5.21</v>
      </c>
      <c r="G197" s="21">
        <v>7541.0</v>
      </c>
    </row>
    <row r="198" ht="14.25" customHeight="1">
      <c r="A198" s="21" t="s">
        <v>425</v>
      </c>
      <c r="B198" s="21" t="s">
        <v>373</v>
      </c>
      <c r="C198" s="21">
        <v>1765.0</v>
      </c>
      <c r="D198" s="21">
        <v>109.0</v>
      </c>
      <c r="E198" s="21">
        <v>468301.0</v>
      </c>
      <c r="F198" s="21">
        <v>1.82</v>
      </c>
      <c r="G198" s="21">
        <v>20042.0</v>
      </c>
    </row>
    <row r="199" ht="14.25" customHeight="1">
      <c r="A199" s="21" t="s">
        <v>425</v>
      </c>
      <c r="B199" s="21" t="s">
        <v>374</v>
      </c>
      <c r="C199" s="21">
        <v>837.0</v>
      </c>
      <c r="D199" s="21">
        <v>430.0</v>
      </c>
      <c r="E199" s="21">
        <v>364820.0</v>
      </c>
      <c r="F199" s="21">
        <v>4.0</v>
      </c>
      <c r="G199" s="21">
        <v>49400.0</v>
      </c>
    </row>
    <row r="200" ht="14.25" customHeight="1">
      <c r="A200" s="21" t="s">
        <v>425</v>
      </c>
      <c r="B200" s="21" t="s">
        <v>375</v>
      </c>
      <c r="C200" s="21">
        <v>337.0</v>
      </c>
      <c r="D200" s="21">
        <v>68.0</v>
      </c>
      <c r="E200" s="21">
        <v>456298.0</v>
      </c>
      <c r="F200" s="21">
        <v>7.57</v>
      </c>
      <c r="G200" s="21">
        <v>4007.0</v>
      </c>
    </row>
    <row r="201" ht="14.25" customHeight="1">
      <c r="A201" s="21" t="s">
        <v>425</v>
      </c>
      <c r="B201" s="21" t="s">
        <v>376</v>
      </c>
      <c r="C201" s="21">
        <v>119.0</v>
      </c>
      <c r="D201" s="21">
        <v>456.0</v>
      </c>
      <c r="E201" s="21">
        <v>82558.0</v>
      </c>
      <c r="F201" s="21">
        <v>6.81</v>
      </c>
      <c r="G201" s="21">
        <v>12174.0</v>
      </c>
    </row>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31.0"/>
  </cols>
  <sheetData>
    <row r="1"/>
    <row r="2"/>
    <row r="3"/>
    <row r="4"/>
    <row r="5"/>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2.0"/>
    <col customWidth="1" min="2" max="2" width="26.14"/>
  </cols>
  <sheetData>
    <row r="1">
      <c r="C1" s="4" t="s">
        <v>433</v>
      </c>
    </row>
    <row r="2">
      <c r="C2" s="15">
        <f t="shared" ref="C2:C7" si="1">RANK(B2,$B$2:$B$7,0)</f>
        <v>1</v>
      </c>
    </row>
    <row r="3">
      <c r="C3" s="15">
        <f t="shared" si="1"/>
        <v>5</v>
      </c>
    </row>
    <row r="4">
      <c r="C4" s="15">
        <f t="shared" si="1"/>
        <v>4</v>
      </c>
    </row>
    <row r="5">
      <c r="C5" s="15">
        <f t="shared" si="1"/>
        <v>2</v>
      </c>
    </row>
    <row r="6">
      <c r="C6" s="15">
        <f t="shared" si="1"/>
        <v>6</v>
      </c>
    </row>
    <row r="7">
      <c r="C7" s="15">
        <f t="shared" si="1"/>
        <v>3</v>
      </c>
    </row>
  </sheetData>
  <conditionalFormatting sqref="C1:C1000">
    <cfRule type="cellIs" dxfId="0" priority="1" operator="lessThanOrEqual">
      <formula>3</formula>
    </cfRule>
  </conditionalFormatting>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1.14"/>
    <col customWidth="1" min="3" max="3" width="24.86"/>
    <col customWidth="1" min="4" max="4" width="21.43"/>
  </cols>
  <sheetData>
    <row r="1"/>
    <row r="2"/>
    <row r="3"/>
    <row r="4"/>
    <row r="5"/>
    <row r="6"/>
    <row r="7"/>
    <row r="8"/>
    <row r="9">
      <c r="C9" s="16"/>
    </row>
    <row r="10">
      <c r="C10" s="16"/>
    </row>
    <row r="11">
      <c r="C11" s="16"/>
    </row>
    <row r="12">
      <c r="C12" s="16"/>
    </row>
    <row r="13">
      <c r="C13" s="16"/>
    </row>
    <row r="14">
      <c r="C14" s="16"/>
    </row>
    <row r="15">
      <c r="C15" s="16"/>
    </row>
    <row r="16">
      <c r="C16" s="16"/>
    </row>
    <row r="17">
      <c r="C17" s="16"/>
    </row>
    <row r="18">
      <c r="C18" s="16"/>
    </row>
    <row r="19">
      <c r="C19" s="16"/>
    </row>
    <row r="20">
      <c r="C20" s="16"/>
    </row>
    <row r="21">
      <c r="C21" s="16"/>
    </row>
    <row r="22">
      <c r="C22" s="16"/>
    </row>
    <row r="23">
      <c r="C23" s="16"/>
    </row>
    <row r="24">
      <c r="C24" s="16"/>
    </row>
    <row r="25">
      <c r="C25" s="16"/>
    </row>
    <row r="26">
      <c r="C26" s="16"/>
    </row>
    <row r="27">
      <c r="C27" s="16"/>
    </row>
    <row r="28">
      <c r="C28" s="16"/>
    </row>
    <row r="29">
      <c r="C29" s="16"/>
    </row>
    <row r="30">
      <c r="C30" s="16"/>
    </row>
    <row r="31">
      <c r="C31" s="16"/>
    </row>
    <row r="32">
      <c r="C32" s="16"/>
    </row>
    <row r="33">
      <c r="C33" s="16"/>
    </row>
    <row r="34">
      <c r="C34" s="16"/>
    </row>
    <row r="35">
      <c r="C35" s="16"/>
    </row>
    <row r="36">
      <c r="C36" s="16"/>
    </row>
    <row r="37">
      <c r="C37" s="16"/>
    </row>
    <row r="38">
      <c r="C38" s="16"/>
    </row>
    <row r="39">
      <c r="C39" s="16"/>
    </row>
    <row r="40">
      <c r="C40" s="16"/>
    </row>
    <row r="41">
      <c r="C41" s="16"/>
    </row>
    <row r="42">
      <c r="C42" s="16"/>
    </row>
    <row r="43">
      <c r="C43" s="16"/>
    </row>
    <row r="44">
      <c r="C44" s="16"/>
    </row>
    <row r="45">
      <c r="C45" s="16"/>
    </row>
    <row r="46">
      <c r="C46" s="16"/>
    </row>
    <row r="47">
      <c r="C47" s="16"/>
    </row>
    <row r="48">
      <c r="C48" s="16"/>
    </row>
    <row r="49">
      <c r="C49" s="16"/>
    </row>
    <row r="50">
      <c r="C50" s="16"/>
    </row>
    <row r="51">
      <c r="C51" s="16"/>
    </row>
    <row r="52">
      <c r="C52" s="16"/>
    </row>
    <row r="53">
      <c r="C53" s="16"/>
    </row>
    <row r="54">
      <c r="C54" s="16"/>
    </row>
    <row r="55">
      <c r="C55" s="16"/>
    </row>
    <row r="56">
      <c r="C56" s="16"/>
    </row>
    <row r="57">
      <c r="C57" s="16"/>
    </row>
    <row r="58">
      <c r="C58" s="16"/>
    </row>
    <row r="59">
      <c r="C59" s="16"/>
    </row>
    <row r="60">
      <c r="C60" s="16"/>
    </row>
    <row r="61">
      <c r="C61" s="16"/>
    </row>
    <row r="62">
      <c r="C62" s="16"/>
    </row>
    <row r="63">
      <c r="C63" s="16"/>
    </row>
    <row r="64">
      <c r="C64" s="16"/>
    </row>
    <row r="65">
      <c r="C65" s="16"/>
    </row>
    <row r="66">
      <c r="C66" s="16"/>
    </row>
    <row r="67">
      <c r="C67" s="16"/>
    </row>
    <row r="68">
      <c r="C68" s="16"/>
    </row>
    <row r="69">
      <c r="C69" s="16"/>
    </row>
    <row r="70">
      <c r="C70" s="16"/>
    </row>
    <row r="71">
      <c r="C71" s="16"/>
    </row>
    <row r="72">
      <c r="C72" s="16"/>
    </row>
    <row r="73">
      <c r="C73" s="16"/>
    </row>
    <row r="74">
      <c r="C74" s="16"/>
    </row>
    <row r="75">
      <c r="C75" s="16"/>
    </row>
    <row r="76">
      <c r="C76" s="16"/>
    </row>
    <row r="77">
      <c r="C77" s="16"/>
    </row>
    <row r="78">
      <c r="C78" s="16"/>
    </row>
    <row r="79">
      <c r="C79" s="16"/>
    </row>
    <row r="80">
      <c r="C80" s="16"/>
    </row>
    <row r="81">
      <c r="C81" s="16"/>
    </row>
    <row r="82">
      <c r="C82" s="16"/>
    </row>
    <row r="83">
      <c r="C83" s="16"/>
    </row>
    <row r="84">
      <c r="C84" s="16"/>
    </row>
    <row r="85">
      <c r="C85" s="16"/>
    </row>
    <row r="86">
      <c r="C86" s="16"/>
    </row>
    <row r="87">
      <c r="C87" s="16"/>
    </row>
    <row r="88">
      <c r="C88" s="16"/>
    </row>
    <row r="89">
      <c r="C89" s="16"/>
    </row>
    <row r="90">
      <c r="C90" s="16"/>
    </row>
    <row r="91">
      <c r="C91" s="16"/>
    </row>
    <row r="92">
      <c r="C92" s="16"/>
    </row>
    <row r="93">
      <c r="C93" s="16"/>
    </row>
    <row r="94">
      <c r="C94" s="16"/>
    </row>
    <row r="95">
      <c r="C95" s="16"/>
    </row>
    <row r="96">
      <c r="C96" s="16"/>
    </row>
    <row r="97">
      <c r="C97" s="16"/>
    </row>
    <row r="98">
      <c r="C98" s="16"/>
    </row>
    <row r="99">
      <c r="C99" s="16"/>
    </row>
    <row r="100">
      <c r="C100" s="16"/>
    </row>
    <row r="101">
      <c r="C101" s="16"/>
    </row>
    <row r="102">
      <c r="C102" s="16"/>
    </row>
    <row r="103">
      <c r="C103" s="16"/>
    </row>
    <row r="104">
      <c r="C104" s="16"/>
    </row>
    <row r="105">
      <c r="C105" s="16"/>
    </row>
    <row r="106">
      <c r="C106" s="16"/>
    </row>
    <row r="107">
      <c r="C107" s="16"/>
    </row>
    <row r="108">
      <c r="C108" s="16"/>
    </row>
    <row r="109">
      <c r="C109" s="16"/>
    </row>
    <row r="110">
      <c r="C110" s="16"/>
    </row>
    <row r="111">
      <c r="C111" s="16"/>
    </row>
    <row r="112">
      <c r="C112" s="16"/>
    </row>
    <row r="113">
      <c r="C113" s="16"/>
    </row>
    <row r="114">
      <c r="C114" s="16"/>
    </row>
    <row r="115">
      <c r="C115" s="16"/>
    </row>
    <row r="116">
      <c r="C116" s="16"/>
    </row>
    <row r="117">
      <c r="C117" s="16"/>
    </row>
    <row r="118">
      <c r="C118" s="16"/>
    </row>
    <row r="119">
      <c r="C119" s="16"/>
    </row>
    <row r="120">
      <c r="C120" s="16"/>
    </row>
    <row r="121">
      <c r="C121" s="16"/>
    </row>
    <row r="122">
      <c r="C122" s="16"/>
    </row>
    <row r="123">
      <c r="C123" s="16"/>
    </row>
    <row r="124">
      <c r="C124" s="16"/>
    </row>
    <row r="125">
      <c r="C125" s="16"/>
    </row>
    <row r="126">
      <c r="C126" s="16"/>
    </row>
    <row r="127">
      <c r="C127" s="16"/>
    </row>
    <row r="128">
      <c r="C128" s="16"/>
    </row>
    <row r="129">
      <c r="C129" s="16"/>
    </row>
    <row r="130">
      <c r="C130" s="16"/>
    </row>
    <row r="131">
      <c r="C131" s="16"/>
    </row>
    <row r="132">
      <c r="C132" s="16"/>
    </row>
    <row r="133">
      <c r="C133" s="16"/>
    </row>
    <row r="134">
      <c r="C134" s="16"/>
    </row>
    <row r="135">
      <c r="C135" s="16"/>
    </row>
    <row r="136">
      <c r="C136" s="16"/>
    </row>
    <row r="137">
      <c r="C137" s="16"/>
    </row>
    <row r="138">
      <c r="C138" s="16"/>
    </row>
    <row r="139">
      <c r="C139" s="16"/>
    </row>
    <row r="140">
      <c r="C140" s="16"/>
    </row>
    <row r="141">
      <c r="C141" s="16"/>
    </row>
    <row r="142">
      <c r="C142" s="16"/>
    </row>
    <row r="143">
      <c r="C143" s="16"/>
    </row>
    <row r="144">
      <c r="C144" s="16"/>
    </row>
    <row r="145">
      <c r="C145" s="16"/>
    </row>
    <row r="146">
      <c r="C146" s="16"/>
    </row>
    <row r="147">
      <c r="C147" s="16"/>
    </row>
    <row r="148">
      <c r="C148" s="16"/>
    </row>
    <row r="149">
      <c r="C149" s="16"/>
    </row>
    <row r="150">
      <c r="C150" s="16"/>
    </row>
    <row r="151">
      <c r="C151" s="16"/>
    </row>
    <row r="152">
      <c r="C152" s="16"/>
    </row>
    <row r="153">
      <c r="C153" s="16"/>
    </row>
    <row r="154">
      <c r="C154" s="16"/>
    </row>
    <row r="155">
      <c r="C155" s="16"/>
    </row>
    <row r="156">
      <c r="C156" s="16"/>
    </row>
    <row r="157">
      <c r="C157" s="16"/>
    </row>
    <row r="158">
      <c r="C158" s="16"/>
    </row>
    <row r="159">
      <c r="C159" s="16"/>
    </row>
    <row r="160">
      <c r="C160" s="16"/>
    </row>
    <row r="161">
      <c r="C161" s="16"/>
    </row>
    <row r="162">
      <c r="C162" s="16"/>
    </row>
    <row r="163">
      <c r="C163" s="16"/>
    </row>
    <row r="164">
      <c r="C164" s="16"/>
    </row>
    <row r="165">
      <c r="C165" s="16"/>
    </row>
    <row r="166">
      <c r="C166" s="16"/>
    </row>
    <row r="167">
      <c r="C167" s="16"/>
    </row>
    <row r="168">
      <c r="C168" s="16"/>
    </row>
    <row r="169">
      <c r="C169" s="16"/>
    </row>
    <row r="170">
      <c r="C170" s="16"/>
    </row>
    <row r="171">
      <c r="C171" s="16"/>
    </row>
    <row r="172">
      <c r="C172" s="16"/>
    </row>
    <row r="173">
      <c r="C173" s="16"/>
    </row>
    <row r="174">
      <c r="C174" s="16"/>
    </row>
    <row r="175">
      <c r="C175" s="16"/>
    </row>
    <row r="176">
      <c r="C176" s="16"/>
    </row>
    <row r="177">
      <c r="C177" s="16"/>
    </row>
    <row r="178">
      <c r="C178" s="16"/>
    </row>
    <row r="179">
      <c r="C179" s="16"/>
    </row>
    <row r="180">
      <c r="C180" s="16"/>
    </row>
    <row r="181">
      <c r="C181" s="16"/>
    </row>
    <row r="182">
      <c r="C182" s="16"/>
    </row>
    <row r="183">
      <c r="C183" s="16"/>
    </row>
    <row r="184">
      <c r="C184" s="16"/>
    </row>
    <row r="185">
      <c r="C185" s="16"/>
    </row>
    <row r="186">
      <c r="C186" s="16"/>
    </row>
    <row r="187">
      <c r="C187" s="16"/>
    </row>
    <row r="188">
      <c r="C188" s="16"/>
    </row>
    <row r="189">
      <c r="C189" s="16"/>
    </row>
    <row r="190">
      <c r="C190" s="16"/>
    </row>
    <row r="191">
      <c r="C191" s="16"/>
    </row>
    <row r="192">
      <c r="C192" s="16"/>
    </row>
    <row r="193">
      <c r="C193" s="16"/>
    </row>
    <row r="194">
      <c r="C194" s="16"/>
    </row>
    <row r="195">
      <c r="C195" s="16"/>
    </row>
    <row r="196">
      <c r="C196" s="16"/>
    </row>
    <row r="197">
      <c r="C197" s="16"/>
    </row>
    <row r="198">
      <c r="C198" s="16"/>
    </row>
    <row r="199">
      <c r="C199" s="16"/>
    </row>
    <row r="200">
      <c r="C200" s="16"/>
    </row>
    <row r="201">
      <c r="C201" s="16"/>
    </row>
    <row r="202">
      <c r="C202" s="16"/>
    </row>
    <row r="203">
      <c r="C203" s="16"/>
    </row>
    <row r="204">
      <c r="C204" s="16"/>
    </row>
    <row r="205">
      <c r="C205" s="16"/>
    </row>
    <row r="206">
      <c r="C206" s="16"/>
    </row>
    <row r="207">
      <c r="C207" s="16"/>
    </row>
    <row r="208">
      <c r="C208" s="16"/>
    </row>
    <row r="209">
      <c r="C209" s="16"/>
    </row>
    <row r="210">
      <c r="C210" s="16"/>
    </row>
    <row r="211">
      <c r="C211" s="16"/>
    </row>
    <row r="212">
      <c r="C212" s="16"/>
    </row>
    <row r="213">
      <c r="C213" s="16"/>
    </row>
    <row r="214">
      <c r="C214" s="16"/>
    </row>
    <row r="215">
      <c r="C215" s="16"/>
    </row>
    <row r="216">
      <c r="C216" s="16"/>
    </row>
    <row r="217">
      <c r="C217" s="16"/>
    </row>
    <row r="218">
      <c r="C218" s="16"/>
    </row>
    <row r="219">
      <c r="C219" s="16"/>
    </row>
    <row r="220">
      <c r="C220" s="16"/>
    </row>
    <row r="221">
      <c r="C221" s="16"/>
    </row>
    <row r="222">
      <c r="C222" s="16"/>
    </row>
    <row r="223">
      <c r="C223" s="16"/>
    </row>
    <row r="224">
      <c r="C224" s="16"/>
    </row>
    <row r="225">
      <c r="C225" s="16"/>
    </row>
    <row r="226">
      <c r="C226" s="16"/>
    </row>
    <row r="227">
      <c r="C227" s="16"/>
    </row>
    <row r="228">
      <c r="C228" s="16"/>
    </row>
    <row r="229">
      <c r="C229" s="16"/>
    </row>
    <row r="230">
      <c r="C230" s="16"/>
    </row>
    <row r="231">
      <c r="C231" s="16"/>
    </row>
    <row r="232">
      <c r="C232" s="16"/>
    </row>
    <row r="233">
      <c r="C233" s="16"/>
    </row>
    <row r="234">
      <c r="C234" s="16"/>
    </row>
    <row r="235">
      <c r="C235" s="16"/>
    </row>
    <row r="236">
      <c r="C236" s="16"/>
    </row>
    <row r="237">
      <c r="C237" s="16"/>
    </row>
    <row r="238">
      <c r="C238" s="16"/>
    </row>
    <row r="239">
      <c r="C239" s="16"/>
    </row>
    <row r="240">
      <c r="C240" s="16"/>
    </row>
    <row r="241">
      <c r="C241" s="16"/>
    </row>
    <row r="242">
      <c r="C242" s="16"/>
    </row>
    <row r="243">
      <c r="C243" s="16"/>
    </row>
    <row r="244">
      <c r="C244" s="16"/>
    </row>
    <row r="245">
      <c r="C245" s="16"/>
    </row>
    <row r="246">
      <c r="C246" s="16"/>
    </row>
    <row r="247">
      <c r="C247" s="16"/>
    </row>
    <row r="248">
      <c r="C248" s="16"/>
    </row>
    <row r="249">
      <c r="C249" s="16"/>
    </row>
    <row r="250">
      <c r="C250" s="16"/>
    </row>
    <row r="251">
      <c r="C251" s="16"/>
    </row>
    <row r="252">
      <c r="C252" s="16"/>
    </row>
    <row r="253">
      <c r="C253" s="16"/>
    </row>
    <row r="254">
      <c r="C254" s="16"/>
    </row>
    <row r="255">
      <c r="C255" s="16"/>
    </row>
    <row r="256">
      <c r="C256" s="16"/>
    </row>
    <row r="257">
      <c r="C257" s="16"/>
    </row>
    <row r="258">
      <c r="C258" s="16"/>
    </row>
    <row r="259">
      <c r="C259" s="16"/>
    </row>
    <row r="260">
      <c r="C260" s="16"/>
    </row>
    <row r="261">
      <c r="C261" s="16"/>
    </row>
    <row r="262">
      <c r="C262" s="16"/>
    </row>
    <row r="263">
      <c r="C263" s="16"/>
    </row>
    <row r="264">
      <c r="C264" s="16"/>
    </row>
    <row r="265">
      <c r="C265" s="16"/>
    </row>
    <row r="266">
      <c r="C266" s="16"/>
    </row>
    <row r="267">
      <c r="C267" s="16"/>
    </row>
    <row r="268">
      <c r="C268" s="16"/>
    </row>
    <row r="269">
      <c r="C269" s="16"/>
    </row>
    <row r="270">
      <c r="C270" s="16"/>
    </row>
    <row r="271">
      <c r="C271" s="16"/>
    </row>
    <row r="272">
      <c r="C272" s="16"/>
    </row>
    <row r="273">
      <c r="C273" s="16"/>
    </row>
    <row r="274">
      <c r="C274" s="16"/>
    </row>
    <row r="275">
      <c r="C275" s="16"/>
    </row>
    <row r="276">
      <c r="C276" s="16"/>
    </row>
    <row r="277">
      <c r="C277" s="16"/>
    </row>
    <row r="278">
      <c r="C278" s="16"/>
    </row>
    <row r="279">
      <c r="C279" s="16"/>
    </row>
    <row r="280">
      <c r="C280" s="16"/>
    </row>
    <row r="281">
      <c r="C281" s="16"/>
    </row>
    <row r="282">
      <c r="C282" s="16"/>
    </row>
    <row r="283">
      <c r="C283" s="16"/>
    </row>
    <row r="284">
      <c r="C284" s="16"/>
    </row>
    <row r="285">
      <c r="C285" s="16"/>
    </row>
    <row r="286">
      <c r="C286" s="16"/>
    </row>
    <row r="287">
      <c r="C287" s="16"/>
    </row>
    <row r="288">
      <c r="C288" s="16"/>
    </row>
    <row r="289">
      <c r="C289" s="16"/>
    </row>
    <row r="290">
      <c r="C290" s="16"/>
    </row>
    <row r="291">
      <c r="C291" s="16"/>
    </row>
    <row r="292">
      <c r="C292" s="16"/>
    </row>
    <row r="293">
      <c r="C293" s="16"/>
    </row>
    <row r="294">
      <c r="C294" s="16"/>
    </row>
    <row r="295">
      <c r="C295" s="16"/>
    </row>
    <row r="296">
      <c r="C296" s="16"/>
    </row>
    <row r="297">
      <c r="C297" s="16"/>
    </row>
    <row r="298">
      <c r="C298" s="16"/>
    </row>
    <row r="299">
      <c r="C299" s="16"/>
    </row>
    <row r="300">
      <c r="C300" s="16"/>
    </row>
    <row r="301">
      <c r="C301" s="16"/>
    </row>
    <row r="302">
      <c r="C302" s="16"/>
    </row>
    <row r="303">
      <c r="C303" s="16"/>
    </row>
    <row r="304">
      <c r="C304" s="16"/>
    </row>
    <row r="305">
      <c r="C305" s="16"/>
    </row>
    <row r="306">
      <c r="C306" s="16"/>
    </row>
    <row r="307">
      <c r="C307" s="16"/>
    </row>
    <row r="308">
      <c r="C308" s="16"/>
    </row>
    <row r="309">
      <c r="C309" s="16"/>
    </row>
    <row r="310">
      <c r="C310" s="16"/>
    </row>
    <row r="311">
      <c r="C311" s="16"/>
    </row>
    <row r="312">
      <c r="C312" s="16"/>
    </row>
    <row r="313">
      <c r="C313" s="16"/>
    </row>
    <row r="314">
      <c r="C314" s="16"/>
    </row>
    <row r="315">
      <c r="C315" s="16"/>
    </row>
    <row r="316">
      <c r="C316" s="16"/>
    </row>
    <row r="317">
      <c r="C317" s="16"/>
    </row>
    <row r="318">
      <c r="C318" s="16"/>
    </row>
    <row r="319">
      <c r="C319" s="16"/>
    </row>
    <row r="320">
      <c r="C320" s="16"/>
    </row>
    <row r="321">
      <c r="C321" s="16"/>
    </row>
    <row r="322">
      <c r="C322" s="16"/>
    </row>
    <row r="323">
      <c r="C323" s="16"/>
    </row>
    <row r="324">
      <c r="C324" s="16"/>
    </row>
    <row r="325">
      <c r="C325" s="16"/>
    </row>
    <row r="326">
      <c r="C326" s="16"/>
    </row>
    <row r="327">
      <c r="C327" s="16"/>
    </row>
    <row r="328">
      <c r="C328" s="16"/>
    </row>
    <row r="329">
      <c r="C329" s="16"/>
    </row>
    <row r="330">
      <c r="C330" s="16"/>
    </row>
    <row r="331">
      <c r="C331" s="16"/>
    </row>
    <row r="332">
      <c r="C332" s="16"/>
    </row>
    <row r="333">
      <c r="C333" s="16"/>
    </row>
    <row r="334">
      <c r="C334" s="16"/>
    </row>
    <row r="335">
      <c r="C335" s="16"/>
    </row>
    <row r="336">
      <c r="C336" s="16"/>
    </row>
    <row r="337">
      <c r="C337" s="16"/>
    </row>
    <row r="338">
      <c r="C338" s="16"/>
    </row>
    <row r="339">
      <c r="C339" s="16"/>
    </row>
    <row r="340">
      <c r="C340" s="16"/>
    </row>
    <row r="341">
      <c r="C341" s="16"/>
    </row>
    <row r="342">
      <c r="C342" s="16"/>
    </row>
    <row r="343">
      <c r="C343" s="16"/>
    </row>
    <row r="344">
      <c r="C344" s="16"/>
    </row>
    <row r="345">
      <c r="C345" s="16"/>
    </row>
    <row r="346">
      <c r="C346" s="16"/>
    </row>
    <row r="347">
      <c r="C347" s="16"/>
    </row>
    <row r="348">
      <c r="C348" s="16"/>
    </row>
    <row r="349">
      <c r="C349" s="16"/>
    </row>
    <row r="350">
      <c r="C350" s="16"/>
    </row>
    <row r="351">
      <c r="C351" s="16"/>
    </row>
    <row r="352">
      <c r="C352" s="16"/>
    </row>
    <row r="353">
      <c r="C353" s="16"/>
    </row>
    <row r="354">
      <c r="C354" s="16"/>
    </row>
    <row r="355">
      <c r="C355" s="16"/>
    </row>
    <row r="356">
      <c r="C356" s="16"/>
    </row>
    <row r="357">
      <c r="C357" s="16"/>
    </row>
    <row r="358">
      <c r="C358" s="16"/>
    </row>
    <row r="359">
      <c r="C359" s="16"/>
    </row>
    <row r="360">
      <c r="C360" s="16"/>
    </row>
    <row r="361">
      <c r="C361" s="16"/>
    </row>
    <row r="362">
      <c r="C362" s="16"/>
    </row>
    <row r="363">
      <c r="C363" s="16"/>
    </row>
    <row r="364">
      <c r="C364" s="16"/>
    </row>
    <row r="365">
      <c r="C365" s="16"/>
    </row>
    <row r="366">
      <c r="C366" s="16"/>
    </row>
    <row r="367">
      <c r="C367" s="16"/>
    </row>
    <row r="368">
      <c r="C368" s="16"/>
    </row>
    <row r="369">
      <c r="C369" s="16"/>
    </row>
    <row r="370">
      <c r="C370" s="16"/>
    </row>
    <row r="371">
      <c r="C371" s="16"/>
    </row>
    <row r="372">
      <c r="C372" s="16"/>
    </row>
    <row r="373">
      <c r="C373" s="16"/>
    </row>
    <row r="374">
      <c r="C374" s="16"/>
    </row>
    <row r="375">
      <c r="C375" s="16"/>
    </row>
    <row r="376">
      <c r="C376" s="16"/>
    </row>
    <row r="377">
      <c r="C377" s="16"/>
    </row>
    <row r="378">
      <c r="C378" s="16"/>
    </row>
    <row r="379">
      <c r="C379" s="16"/>
    </row>
    <row r="380">
      <c r="C380" s="16"/>
    </row>
    <row r="381">
      <c r="C381" s="16"/>
    </row>
    <row r="382">
      <c r="C382" s="16"/>
    </row>
    <row r="383">
      <c r="C383" s="16"/>
    </row>
    <row r="384">
      <c r="C384" s="16"/>
    </row>
    <row r="385">
      <c r="C385" s="16"/>
    </row>
    <row r="386">
      <c r="C386" s="16"/>
    </row>
    <row r="387">
      <c r="C387" s="16"/>
    </row>
    <row r="388">
      <c r="C388" s="16"/>
    </row>
    <row r="389">
      <c r="C389" s="16"/>
    </row>
    <row r="390">
      <c r="C390" s="16"/>
    </row>
    <row r="391">
      <c r="C391" s="16"/>
    </row>
    <row r="392">
      <c r="C392" s="16"/>
    </row>
    <row r="393">
      <c r="C393" s="16"/>
    </row>
    <row r="394">
      <c r="C394" s="16"/>
    </row>
    <row r="395">
      <c r="C395" s="16"/>
    </row>
    <row r="396">
      <c r="C396" s="16"/>
    </row>
    <row r="397">
      <c r="C397" s="16"/>
    </row>
    <row r="398">
      <c r="C398" s="16"/>
    </row>
    <row r="399">
      <c r="C399" s="16"/>
    </row>
    <row r="400">
      <c r="C400" s="16"/>
    </row>
    <row r="401">
      <c r="C401" s="16"/>
    </row>
    <row r="402">
      <c r="C402" s="16"/>
    </row>
    <row r="403">
      <c r="C403" s="16"/>
    </row>
    <row r="404">
      <c r="C404" s="16"/>
    </row>
    <row r="405">
      <c r="C405" s="16"/>
    </row>
    <row r="406">
      <c r="C406" s="16"/>
    </row>
    <row r="407">
      <c r="C407" s="16"/>
    </row>
    <row r="408">
      <c r="C408" s="16"/>
    </row>
    <row r="409">
      <c r="C409" s="16"/>
    </row>
    <row r="410">
      <c r="C410" s="16"/>
    </row>
    <row r="411">
      <c r="C411" s="16"/>
    </row>
    <row r="412">
      <c r="C412" s="16"/>
    </row>
    <row r="413">
      <c r="C413" s="16"/>
    </row>
    <row r="414">
      <c r="C414" s="16"/>
    </row>
    <row r="415">
      <c r="C415" s="16"/>
    </row>
    <row r="416">
      <c r="C416" s="16"/>
    </row>
    <row r="417">
      <c r="C417" s="16"/>
    </row>
    <row r="418">
      <c r="C418" s="16"/>
    </row>
    <row r="419">
      <c r="C419" s="16"/>
    </row>
    <row r="420">
      <c r="C420" s="16"/>
    </row>
    <row r="421">
      <c r="C421" s="16"/>
    </row>
    <row r="422">
      <c r="C422" s="16"/>
    </row>
    <row r="423">
      <c r="C423" s="16"/>
    </row>
    <row r="424">
      <c r="C424" s="16"/>
    </row>
    <row r="425">
      <c r="C425" s="16"/>
    </row>
    <row r="426">
      <c r="C426" s="16"/>
    </row>
    <row r="427">
      <c r="C427" s="16"/>
    </row>
    <row r="428">
      <c r="C428" s="16"/>
    </row>
    <row r="429">
      <c r="C429" s="16"/>
    </row>
    <row r="430">
      <c r="C430" s="16"/>
    </row>
    <row r="431">
      <c r="C431" s="16"/>
    </row>
    <row r="432">
      <c r="C432" s="16"/>
    </row>
    <row r="433">
      <c r="C433" s="16"/>
    </row>
    <row r="434">
      <c r="C434" s="16"/>
    </row>
    <row r="435">
      <c r="C435" s="16"/>
    </row>
    <row r="436">
      <c r="C436" s="16"/>
    </row>
    <row r="437">
      <c r="C437" s="16"/>
    </row>
    <row r="438">
      <c r="C438" s="16"/>
    </row>
    <row r="439">
      <c r="C439" s="16"/>
    </row>
    <row r="440">
      <c r="C440" s="16"/>
    </row>
    <row r="441">
      <c r="C441" s="16"/>
    </row>
    <row r="442">
      <c r="C442" s="16"/>
    </row>
    <row r="443">
      <c r="C443" s="16"/>
    </row>
    <row r="444">
      <c r="C444" s="16"/>
    </row>
    <row r="445">
      <c r="C445" s="16"/>
    </row>
    <row r="446">
      <c r="C446" s="16"/>
    </row>
    <row r="447">
      <c r="C447" s="16"/>
    </row>
    <row r="448">
      <c r="C448" s="16"/>
    </row>
    <row r="449">
      <c r="C449" s="16"/>
    </row>
    <row r="450">
      <c r="C450" s="16"/>
    </row>
    <row r="451">
      <c r="C451" s="16"/>
    </row>
    <row r="452">
      <c r="C452" s="16"/>
    </row>
    <row r="453">
      <c r="C453" s="16"/>
    </row>
    <row r="454">
      <c r="C454" s="16"/>
    </row>
    <row r="455">
      <c r="C455" s="16"/>
    </row>
    <row r="456">
      <c r="C456" s="16"/>
    </row>
    <row r="457">
      <c r="C457" s="16"/>
    </row>
    <row r="458">
      <c r="C458" s="16"/>
    </row>
    <row r="459">
      <c r="C459" s="16"/>
    </row>
    <row r="460">
      <c r="C460" s="16"/>
    </row>
    <row r="461">
      <c r="C461" s="16"/>
    </row>
    <row r="462">
      <c r="C462" s="16"/>
    </row>
    <row r="463">
      <c r="C463" s="16"/>
    </row>
    <row r="464">
      <c r="C464" s="16"/>
    </row>
    <row r="465">
      <c r="C465" s="16"/>
    </row>
    <row r="466">
      <c r="C466" s="16"/>
    </row>
    <row r="467">
      <c r="C467" s="16"/>
    </row>
    <row r="468">
      <c r="C468" s="16"/>
    </row>
    <row r="469">
      <c r="C469" s="16"/>
    </row>
    <row r="470">
      <c r="C470" s="16"/>
    </row>
    <row r="471">
      <c r="C471" s="16"/>
    </row>
    <row r="472">
      <c r="C472" s="16"/>
    </row>
    <row r="473">
      <c r="C473" s="16"/>
    </row>
    <row r="474">
      <c r="C474" s="16"/>
    </row>
    <row r="475">
      <c r="C475" s="16"/>
    </row>
    <row r="476">
      <c r="C476" s="16"/>
    </row>
    <row r="477">
      <c r="C477" s="16"/>
    </row>
    <row r="478">
      <c r="C478" s="16"/>
    </row>
    <row r="479">
      <c r="C479" s="16"/>
    </row>
    <row r="480">
      <c r="C480" s="16"/>
    </row>
    <row r="481">
      <c r="C481" s="16"/>
    </row>
    <row r="482">
      <c r="C482" s="16"/>
    </row>
    <row r="483">
      <c r="C483" s="16"/>
    </row>
    <row r="484">
      <c r="C484" s="16"/>
    </row>
    <row r="485">
      <c r="C485" s="16"/>
    </row>
    <row r="486">
      <c r="C486" s="16"/>
    </row>
    <row r="487">
      <c r="C487" s="16"/>
    </row>
    <row r="488">
      <c r="C488" s="16"/>
    </row>
    <row r="489">
      <c r="C489" s="16"/>
    </row>
    <row r="490">
      <c r="C490" s="16"/>
    </row>
    <row r="491">
      <c r="C491" s="16"/>
    </row>
    <row r="492">
      <c r="C492" s="16"/>
    </row>
    <row r="493">
      <c r="C493" s="16"/>
    </row>
    <row r="494">
      <c r="C494" s="16"/>
    </row>
    <row r="495">
      <c r="C495" s="16"/>
    </row>
    <row r="496">
      <c r="C496" s="16"/>
    </row>
    <row r="497">
      <c r="C497" s="16"/>
    </row>
    <row r="498">
      <c r="C498" s="16"/>
    </row>
    <row r="499">
      <c r="C499" s="16"/>
    </row>
    <row r="500">
      <c r="C500" s="16"/>
    </row>
    <row r="501">
      <c r="C501" s="16"/>
    </row>
    <row r="502">
      <c r="C502" s="16"/>
    </row>
    <row r="503">
      <c r="C503" s="16"/>
    </row>
    <row r="504">
      <c r="C504" s="16"/>
    </row>
    <row r="505">
      <c r="C505" s="16"/>
    </row>
    <row r="506">
      <c r="C506" s="16"/>
    </row>
    <row r="507">
      <c r="C507" s="16"/>
    </row>
    <row r="508">
      <c r="C508" s="16"/>
    </row>
    <row r="509">
      <c r="C509" s="16"/>
    </row>
    <row r="510">
      <c r="C510" s="16"/>
    </row>
    <row r="511">
      <c r="C511" s="16"/>
    </row>
    <row r="512">
      <c r="C512" s="16"/>
    </row>
    <row r="513">
      <c r="C513" s="16"/>
    </row>
    <row r="514">
      <c r="C514" s="16"/>
    </row>
    <row r="515">
      <c r="C515" s="16"/>
    </row>
    <row r="516">
      <c r="C516" s="16"/>
    </row>
    <row r="517">
      <c r="C517" s="16"/>
    </row>
    <row r="518">
      <c r="C518" s="16"/>
    </row>
    <row r="519">
      <c r="C519" s="16"/>
    </row>
    <row r="520">
      <c r="C520" s="16"/>
    </row>
    <row r="521">
      <c r="C521" s="16"/>
    </row>
    <row r="522">
      <c r="C522" s="16"/>
    </row>
    <row r="523">
      <c r="C523" s="16"/>
    </row>
    <row r="524">
      <c r="C524" s="16"/>
    </row>
    <row r="525">
      <c r="C525" s="16"/>
    </row>
    <row r="526">
      <c r="C526" s="16"/>
    </row>
    <row r="527">
      <c r="C527" s="16"/>
    </row>
    <row r="528">
      <c r="C528" s="16"/>
    </row>
    <row r="529">
      <c r="C529" s="16"/>
    </row>
    <row r="530">
      <c r="C530" s="16"/>
    </row>
    <row r="531">
      <c r="C531" s="16"/>
    </row>
    <row r="532">
      <c r="C532" s="16"/>
    </row>
    <row r="533">
      <c r="C533" s="16"/>
    </row>
    <row r="534">
      <c r="C534" s="16"/>
    </row>
    <row r="535">
      <c r="C535" s="16"/>
    </row>
    <row r="536">
      <c r="C536" s="16"/>
    </row>
    <row r="537">
      <c r="C537" s="16"/>
    </row>
    <row r="538">
      <c r="C538" s="16"/>
    </row>
    <row r="539">
      <c r="C539" s="16"/>
    </row>
    <row r="540">
      <c r="C540" s="16"/>
    </row>
    <row r="541">
      <c r="C541" s="16"/>
    </row>
    <row r="542">
      <c r="C542" s="16"/>
    </row>
    <row r="543">
      <c r="C543" s="16"/>
    </row>
    <row r="544">
      <c r="C544" s="16"/>
    </row>
    <row r="545">
      <c r="C545" s="16"/>
    </row>
    <row r="546">
      <c r="C546" s="16"/>
    </row>
    <row r="547">
      <c r="C547" s="16"/>
    </row>
    <row r="548">
      <c r="C548" s="16"/>
    </row>
    <row r="549">
      <c r="C549" s="16"/>
    </row>
    <row r="550">
      <c r="C550" s="16"/>
    </row>
    <row r="551">
      <c r="C551" s="16"/>
    </row>
    <row r="552">
      <c r="C552" s="16"/>
    </row>
    <row r="553">
      <c r="C553" s="16"/>
    </row>
    <row r="554">
      <c r="C554" s="16"/>
    </row>
    <row r="555">
      <c r="C555" s="16"/>
    </row>
    <row r="556">
      <c r="C556" s="16"/>
    </row>
    <row r="557">
      <c r="C557" s="16"/>
    </row>
    <row r="558">
      <c r="C558" s="16"/>
    </row>
    <row r="559">
      <c r="C559" s="16"/>
    </row>
    <row r="560">
      <c r="C560" s="16"/>
    </row>
    <row r="561">
      <c r="C561" s="16"/>
    </row>
    <row r="562">
      <c r="C562" s="16"/>
    </row>
    <row r="563">
      <c r="C563" s="16"/>
    </row>
    <row r="564">
      <c r="C564" s="16"/>
    </row>
    <row r="565">
      <c r="C565" s="16"/>
    </row>
    <row r="566">
      <c r="C566" s="16"/>
    </row>
    <row r="567">
      <c r="C567" s="16"/>
    </row>
    <row r="568">
      <c r="C568" s="16"/>
    </row>
    <row r="569">
      <c r="C569" s="16"/>
    </row>
    <row r="570">
      <c r="C570" s="16"/>
    </row>
    <row r="571">
      <c r="C571" s="16"/>
    </row>
    <row r="572">
      <c r="C572" s="16"/>
    </row>
    <row r="573">
      <c r="C573" s="16"/>
    </row>
    <row r="574">
      <c r="C574" s="16"/>
    </row>
    <row r="575">
      <c r="C575" s="16"/>
    </row>
    <row r="576">
      <c r="C576" s="16"/>
    </row>
    <row r="577">
      <c r="C577" s="16"/>
    </row>
    <row r="578">
      <c r="C578" s="16"/>
    </row>
    <row r="579">
      <c r="C579" s="16"/>
    </row>
    <row r="580">
      <c r="C580" s="16"/>
    </row>
    <row r="581">
      <c r="C581" s="16"/>
    </row>
    <row r="582">
      <c r="C582" s="16"/>
    </row>
    <row r="583">
      <c r="C583" s="16"/>
    </row>
    <row r="584">
      <c r="C584" s="16"/>
    </row>
    <row r="585">
      <c r="C585" s="16"/>
    </row>
    <row r="586">
      <c r="C586" s="16"/>
    </row>
    <row r="587">
      <c r="C587" s="16"/>
    </row>
    <row r="588">
      <c r="C588" s="16"/>
    </row>
    <row r="589">
      <c r="C589" s="16"/>
    </row>
    <row r="590">
      <c r="C590" s="16"/>
    </row>
    <row r="591">
      <c r="C591" s="16"/>
    </row>
    <row r="592">
      <c r="C592" s="16"/>
    </row>
    <row r="593">
      <c r="C593" s="16"/>
    </row>
    <row r="594">
      <c r="C594" s="16"/>
    </row>
    <row r="595">
      <c r="C595" s="16"/>
    </row>
    <row r="596">
      <c r="C596" s="16"/>
    </row>
    <row r="597">
      <c r="C597" s="16"/>
    </row>
    <row r="598">
      <c r="C598" s="16"/>
    </row>
    <row r="599">
      <c r="C599" s="16"/>
    </row>
    <row r="600">
      <c r="C600" s="16"/>
    </row>
    <row r="601">
      <c r="C601" s="16"/>
    </row>
    <row r="602">
      <c r="C602" s="16"/>
    </row>
    <row r="603">
      <c r="C603" s="16"/>
    </row>
    <row r="604">
      <c r="C604" s="16"/>
    </row>
    <row r="605">
      <c r="C605" s="16"/>
    </row>
    <row r="606">
      <c r="C606" s="16"/>
    </row>
    <row r="607">
      <c r="C607" s="16"/>
    </row>
    <row r="608">
      <c r="C608" s="16"/>
    </row>
    <row r="609">
      <c r="C609" s="16"/>
    </row>
    <row r="610">
      <c r="C610" s="16"/>
    </row>
    <row r="611">
      <c r="C611" s="16"/>
    </row>
    <row r="612">
      <c r="C612" s="16"/>
    </row>
    <row r="613">
      <c r="C613" s="16"/>
    </row>
    <row r="614">
      <c r="C614" s="16"/>
    </row>
    <row r="615">
      <c r="C615" s="16"/>
    </row>
    <row r="616">
      <c r="C616" s="16"/>
    </row>
    <row r="617">
      <c r="C617" s="16"/>
    </row>
    <row r="618">
      <c r="C618" s="16"/>
    </row>
    <row r="619">
      <c r="C619" s="16"/>
    </row>
    <row r="620">
      <c r="C620" s="16"/>
    </row>
    <row r="621">
      <c r="C621" s="16"/>
    </row>
    <row r="622">
      <c r="C622" s="16"/>
    </row>
    <row r="623">
      <c r="C623" s="16"/>
    </row>
    <row r="624">
      <c r="C624" s="16"/>
    </row>
    <row r="625">
      <c r="C625" s="16"/>
    </row>
    <row r="626">
      <c r="C626" s="16"/>
    </row>
    <row r="627">
      <c r="C627" s="16"/>
    </row>
    <row r="628">
      <c r="C628" s="16"/>
    </row>
    <row r="629">
      <c r="C629" s="16"/>
    </row>
    <row r="630">
      <c r="C630" s="16"/>
    </row>
    <row r="631">
      <c r="C631" s="16"/>
    </row>
    <row r="632">
      <c r="C632" s="16"/>
    </row>
    <row r="633">
      <c r="C633" s="16"/>
    </row>
    <row r="634">
      <c r="C634" s="16"/>
    </row>
    <row r="635">
      <c r="C635" s="16"/>
    </row>
    <row r="636">
      <c r="C636" s="16"/>
    </row>
    <row r="637">
      <c r="C637" s="16"/>
    </row>
    <row r="638">
      <c r="C638" s="16"/>
    </row>
    <row r="639">
      <c r="C639" s="16"/>
    </row>
    <row r="640">
      <c r="C640" s="16"/>
    </row>
    <row r="641">
      <c r="C641" s="16"/>
    </row>
    <row r="642">
      <c r="C642" s="16"/>
    </row>
    <row r="643">
      <c r="C643" s="16"/>
    </row>
    <row r="644">
      <c r="C644" s="16"/>
    </row>
    <row r="645">
      <c r="C645" s="16"/>
    </row>
    <row r="646">
      <c r="C646" s="16"/>
    </row>
    <row r="647">
      <c r="C647" s="16"/>
    </row>
    <row r="648">
      <c r="C648" s="16"/>
    </row>
    <row r="649">
      <c r="C649" s="16"/>
    </row>
    <row r="650">
      <c r="C650" s="16"/>
    </row>
    <row r="651">
      <c r="C651" s="16"/>
    </row>
    <row r="652">
      <c r="C652" s="16"/>
    </row>
    <row r="653">
      <c r="C653" s="16"/>
    </row>
    <row r="654">
      <c r="C654" s="16"/>
    </row>
    <row r="655">
      <c r="C655" s="16"/>
    </row>
    <row r="656">
      <c r="C656" s="16"/>
    </row>
    <row r="657">
      <c r="C657" s="16"/>
    </row>
    <row r="658">
      <c r="C658" s="16"/>
    </row>
    <row r="659">
      <c r="C659" s="16"/>
    </row>
    <row r="660">
      <c r="C660" s="16"/>
    </row>
    <row r="661">
      <c r="C661" s="16"/>
    </row>
    <row r="662">
      <c r="C662" s="16"/>
    </row>
    <row r="663">
      <c r="C663" s="16"/>
    </row>
    <row r="664">
      <c r="C664" s="16"/>
    </row>
    <row r="665">
      <c r="C665" s="16"/>
    </row>
    <row r="666">
      <c r="C666" s="16"/>
    </row>
    <row r="667">
      <c r="C667" s="16"/>
    </row>
    <row r="668">
      <c r="C668" s="16"/>
    </row>
    <row r="669">
      <c r="C669" s="16"/>
    </row>
    <row r="670">
      <c r="C670" s="16"/>
    </row>
    <row r="671">
      <c r="C671" s="16"/>
    </row>
    <row r="672">
      <c r="C672" s="16"/>
    </row>
    <row r="673">
      <c r="C673" s="16"/>
    </row>
    <row r="674">
      <c r="C674" s="16"/>
    </row>
    <row r="675">
      <c r="C675" s="16"/>
    </row>
    <row r="676">
      <c r="C676" s="16"/>
    </row>
    <row r="677">
      <c r="C677" s="16"/>
    </row>
    <row r="678">
      <c r="C678" s="16"/>
    </row>
    <row r="679">
      <c r="C679" s="16"/>
    </row>
    <row r="680">
      <c r="C680" s="16"/>
    </row>
    <row r="681">
      <c r="C681" s="16"/>
    </row>
    <row r="682">
      <c r="C682" s="16"/>
    </row>
    <row r="683">
      <c r="C683" s="16"/>
    </row>
    <row r="684">
      <c r="C684" s="16"/>
    </row>
    <row r="685">
      <c r="C685" s="16"/>
    </row>
    <row r="686">
      <c r="C686" s="16"/>
    </row>
    <row r="687">
      <c r="C687" s="16"/>
    </row>
    <row r="688">
      <c r="C688" s="16"/>
    </row>
    <row r="689">
      <c r="C689" s="16"/>
    </row>
    <row r="690">
      <c r="C690" s="16"/>
    </row>
    <row r="691">
      <c r="C691" s="16"/>
    </row>
    <row r="692">
      <c r="C692" s="16"/>
    </row>
    <row r="693">
      <c r="C693" s="16"/>
    </row>
    <row r="694">
      <c r="C694" s="16"/>
    </row>
    <row r="695">
      <c r="C695" s="16"/>
    </row>
    <row r="696">
      <c r="C696" s="16"/>
    </row>
    <row r="697">
      <c r="C697" s="16"/>
    </row>
    <row r="698">
      <c r="C698" s="16"/>
    </row>
    <row r="699">
      <c r="C699" s="16"/>
    </row>
    <row r="700">
      <c r="C700" s="16"/>
    </row>
    <row r="701">
      <c r="C701" s="16"/>
    </row>
    <row r="702">
      <c r="C702" s="16"/>
    </row>
    <row r="703">
      <c r="C703" s="16"/>
    </row>
    <row r="704">
      <c r="C704" s="16"/>
    </row>
    <row r="705">
      <c r="C705" s="16"/>
    </row>
    <row r="706">
      <c r="C706" s="16"/>
    </row>
    <row r="707">
      <c r="C707" s="16"/>
    </row>
    <row r="708">
      <c r="C708" s="16"/>
    </row>
    <row r="709">
      <c r="C709" s="16"/>
    </row>
    <row r="710">
      <c r="C710" s="16"/>
    </row>
    <row r="711">
      <c r="C711" s="16"/>
    </row>
    <row r="712">
      <c r="C712" s="16"/>
    </row>
    <row r="713">
      <c r="C713" s="16"/>
    </row>
    <row r="714">
      <c r="C714" s="16"/>
    </row>
    <row r="715">
      <c r="C715" s="16"/>
    </row>
    <row r="716">
      <c r="C716" s="16"/>
    </row>
    <row r="717">
      <c r="C717" s="16"/>
    </row>
    <row r="718">
      <c r="C718" s="16"/>
    </row>
    <row r="719">
      <c r="C719" s="16"/>
    </row>
    <row r="720">
      <c r="C720" s="16"/>
    </row>
    <row r="721">
      <c r="C721" s="16"/>
    </row>
    <row r="722">
      <c r="C722" s="16"/>
    </row>
    <row r="723">
      <c r="C723" s="16"/>
    </row>
    <row r="724">
      <c r="C724" s="16"/>
    </row>
    <row r="725">
      <c r="C725" s="16"/>
    </row>
    <row r="726">
      <c r="C726" s="16"/>
    </row>
    <row r="727">
      <c r="C727" s="16"/>
    </row>
    <row r="728">
      <c r="C728" s="16"/>
    </row>
    <row r="729">
      <c r="C729" s="16"/>
    </row>
    <row r="730">
      <c r="C730" s="16"/>
    </row>
    <row r="731">
      <c r="C731" s="16"/>
    </row>
    <row r="732">
      <c r="C732" s="16"/>
    </row>
    <row r="733">
      <c r="C733" s="16"/>
    </row>
    <row r="734">
      <c r="C734" s="16"/>
    </row>
    <row r="735">
      <c r="C735" s="16"/>
    </row>
    <row r="736">
      <c r="C736" s="16"/>
    </row>
    <row r="737">
      <c r="C737" s="16"/>
    </row>
    <row r="738">
      <c r="C738" s="16"/>
    </row>
    <row r="739">
      <c r="C739" s="16"/>
    </row>
    <row r="740">
      <c r="C740" s="16"/>
    </row>
    <row r="741">
      <c r="C741" s="16"/>
    </row>
    <row r="742">
      <c r="C742" s="16"/>
    </row>
    <row r="743">
      <c r="C743" s="16"/>
    </row>
    <row r="744">
      <c r="C744" s="16"/>
    </row>
    <row r="745">
      <c r="C745" s="16"/>
    </row>
    <row r="746">
      <c r="C746" s="16"/>
    </row>
    <row r="747">
      <c r="C747" s="16"/>
    </row>
    <row r="748">
      <c r="C748" s="16"/>
    </row>
    <row r="749">
      <c r="C749" s="16"/>
    </row>
    <row r="750">
      <c r="C750" s="16"/>
    </row>
    <row r="751">
      <c r="C751" s="16"/>
    </row>
    <row r="752">
      <c r="C752" s="16"/>
    </row>
    <row r="753">
      <c r="C753" s="16"/>
    </row>
    <row r="754">
      <c r="C754" s="16"/>
    </row>
    <row r="755">
      <c r="C755" s="16"/>
    </row>
    <row r="756">
      <c r="C756" s="16"/>
    </row>
    <row r="757">
      <c r="C757" s="16"/>
    </row>
    <row r="758">
      <c r="C758" s="16"/>
    </row>
    <row r="759">
      <c r="C759" s="16"/>
    </row>
    <row r="760">
      <c r="C760" s="16"/>
    </row>
    <row r="761">
      <c r="C761" s="16"/>
    </row>
    <row r="762">
      <c r="C762" s="16"/>
    </row>
    <row r="763">
      <c r="C763" s="16"/>
    </row>
    <row r="764">
      <c r="C764" s="16"/>
    </row>
    <row r="765">
      <c r="C765" s="16"/>
    </row>
    <row r="766">
      <c r="C766" s="16"/>
    </row>
    <row r="767">
      <c r="C767" s="16"/>
    </row>
    <row r="768">
      <c r="C768" s="16"/>
    </row>
    <row r="769">
      <c r="C769" s="16"/>
    </row>
    <row r="770">
      <c r="C770" s="16"/>
    </row>
    <row r="771">
      <c r="C771" s="16"/>
    </row>
    <row r="772">
      <c r="C772" s="16"/>
    </row>
    <row r="773">
      <c r="C773" s="16"/>
    </row>
    <row r="774">
      <c r="C774" s="16"/>
    </row>
    <row r="775">
      <c r="C775" s="16"/>
    </row>
    <row r="776">
      <c r="C776" s="16"/>
    </row>
    <row r="777">
      <c r="C777" s="16"/>
    </row>
    <row r="778">
      <c r="C778" s="16"/>
    </row>
    <row r="779">
      <c r="C779" s="16"/>
    </row>
    <row r="780">
      <c r="C780" s="16"/>
    </row>
    <row r="781">
      <c r="C781" s="16"/>
    </row>
    <row r="782">
      <c r="C782" s="16"/>
    </row>
    <row r="783">
      <c r="C783" s="16"/>
    </row>
    <row r="784">
      <c r="C784" s="16"/>
    </row>
    <row r="785">
      <c r="C785" s="16"/>
    </row>
    <row r="786">
      <c r="C786" s="16"/>
    </row>
    <row r="787">
      <c r="C787" s="16"/>
    </row>
    <row r="788">
      <c r="C788" s="16"/>
    </row>
    <row r="789">
      <c r="C789" s="16"/>
    </row>
    <row r="790">
      <c r="C790" s="16"/>
    </row>
    <row r="791">
      <c r="C791" s="16"/>
    </row>
    <row r="792">
      <c r="C792" s="16"/>
    </row>
    <row r="793">
      <c r="C793" s="16"/>
    </row>
    <row r="794">
      <c r="C794" s="16"/>
    </row>
    <row r="795">
      <c r="C795" s="16"/>
    </row>
    <row r="796">
      <c r="C796" s="16"/>
    </row>
    <row r="797">
      <c r="C797" s="16"/>
    </row>
    <row r="798">
      <c r="C798" s="16"/>
    </row>
    <row r="799">
      <c r="C799" s="16"/>
    </row>
    <row r="800">
      <c r="C800" s="16"/>
    </row>
    <row r="801">
      <c r="C801" s="16"/>
    </row>
    <row r="802">
      <c r="C802" s="16"/>
    </row>
    <row r="803">
      <c r="C803" s="16"/>
    </row>
    <row r="804">
      <c r="C804" s="16"/>
    </row>
    <row r="805">
      <c r="C805" s="16"/>
    </row>
    <row r="806">
      <c r="C806" s="16"/>
    </row>
    <row r="807">
      <c r="C807" s="16"/>
    </row>
    <row r="808">
      <c r="C808" s="16"/>
    </row>
    <row r="809">
      <c r="C809" s="16"/>
    </row>
    <row r="810">
      <c r="C810" s="16"/>
    </row>
    <row r="811">
      <c r="C811" s="16"/>
    </row>
    <row r="812">
      <c r="C812" s="16"/>
    </row>
    <row r="813">
      <c r="C813" s="16"/>
    </row>
    <row r="814">
      <c r="C814" s="16"/>
    </row>
    <row r="815">
      <c r="C815" s="16"/>
    </row>
    <row r="816">
      <c r="C816" s="16"/>
    </row>
    <row r="817">
      <c r="C817" s="16"/>
    </row>
    <row r="818">
      <c r="C818" s="16"/>
    </row>
    <row r="819">
      <c r="C819" s="16"/>
    </row>
    <row r="820">
      <c r="C820" s="16"/>
    </row>
    <row r="821">
      <c r="C821" s="16"/>
    </row>
    <row r="822">
      <c r="C822" s="16"/>
    </row>
    <row r="823">
      <c r="C823" s="16"/>
    </row>
    <row r="824">
      <c r="C824" s="16"/>
    </row>
    <row r="825">
      <c r="C825" s="16"/>
    </row>
    <row r="826">
      <c r="C826" s="16"/>
    </row>
    <row r="827">
      <c r="C827" s="16"/>
    </row>
    <row r="828">
      <c r="C828" s="16"/>
    </row>
    <row r="829">
      <c r="C829" s="16"/>
    </row>
    <row r="830">
      <c r="C830" s="16"/>
    </row>
    <row r="831">
      <c r="C831" s="16"/>
    </row>
    <row r="832">
      <c r="C832" s="16"/>
    </row>
    <row r="833">
      <c r="C833" s="16"/>
    </row>
    <row r="834">
      <c r="C834" s="16"/>
    </row>
    <row r="835">
      <c r="C835" s="16"/>
    </row>
    <row r="836">
      <c r="C836" s="16"/>
    </row>
    <row r="837">
      <c r="C837" s="16"/>
    </row>
    <row r="838">
      <c r="C838" s="16"/>
    </row>
    <row r="839">
      <c r="C839" s="16"/>
    </row>
    <row r="840">
      <c r="C840" s="16"/>
    </row>
    <row r="841">
      <c r="C841" s="16"/>
    </row>
    <row r="842">
      <c r="C842" s="16"/>
    </row>
    <row r="843">
      <c r="C843" s="16"/>
    </row>
    <row r="844">
      <c r="C844" s="16"/>
    </row>
    <row r="845">
      <c r="C845" s="16"/>
    </row>
    <row r="846">
      <c r="C846" s="16"/>
    </row>
    <row r="847">
      <c r="C847" s="16"/>
    </row>
    <row r="848">
      <c r="C848" s="16"/>
    </row>
    <row r="849">
      <c r="C849" s="16"/>
    </row>
    <row r="850">
      <c r="C850" s="16"/>
    </row>
    <row r="851">
      <c r="C851" s="16"/>
    </row>
    <row r="852">
      <c r="C852" s="16"/>
    </row>
    <row r="853">
      <c r="C853" s="16"/>
    </row>
    <row r="854">
      <c r="C854" s="16"/>
    </row>
    <row r="855">
      <c r="C855" s="16"/>
    </row>
    <row r="856">
      <c r="C856" s="16"/>
    </row>
    <row r="857">
      <c r="C857" s="16"/>
    </row>
    <row r="858">
      <c r="C858" s="16"/>
    </row>
    <row r="859">
      <c r="C859" s="16"/>
    </row>
    <row r="860">
      <c r="C860" s="16"/>
    </row>
    <row r="861">
      <c r="C861" s="16"/>
    </row>
    <row r="862">
      <c r="C862" s="16"/>
    </row>
    <row r="863">
      <c r="C863" s="16"/>
    </row>
    <row r="864">
      <c r="C864" s="16"/>
    </row>
    <row r="865">
      <c r="C865" s="16"/>
    </row>
    <row r="866">
      <c r="C866" s="16"/>
    </row>
    <row r="867">
      <c r="C867" s="16"/>
    </row>
    <row r="868">
      <c r="C868" s="16"/>
    </row>
    <row r="869">
      <c r="C869" s="16"/>
    </row>
    <row r="870">
      <c r="C870" s="16"/>
    </row>
    <row r="871">
      <c r="C871" s="16"/>
    </row>
    <row r="872">
      <c r="C872" s="16"/>
    </row>
    <row r="873">
      <c r="C873" s="16"/>
    </row>
    <row r="874">
      <c r="C874" s="16"/>
    </row>
    <row r="875">
      <c r="C875" s="16"/>
    </row>
    <row r="876">
      <c r="C876" s="16"/>
    </row>
    <row r="877">
      <c r="C877" s="16"/>
    </row>
    <row r="878">
      <c r="C878" s="16"/>
    </row>
    <row r="879">
      <c r="C879" s="16"/>
    </row>
    <row r="880">
      <c r="C880" s="16"/>
    </row>
    <row r="881">
      <c r="C881" s="16"/>
    </row>
    <row r="882">
      <c r="C882" s="16"/>
    </row>
    <row r="883">
      <c r="C883" s="16"/>
    </row>
    <row r="884">
      <c r="C884" s="16"/>
    </row>
    <row r="885">
      <c r="C885" s="16"/>
    </row>
    <row r="886">
      <c r="C886" s="16"/>
    </row>
    <row r="887">
      <c r="C887" s="16"/>
    </row>
    <row r="888">
      <c r="C888" s="16"/>
    </row>
    <row r="889">
      <c r="C889" s="16"/>
    </row>
    <row r="890">
      <c r="C890" s="16"/>
    </row>
    <row r="891">
      <c r="C891" s="16"/>
    </row>
    <row r="892">
      <c r="C892" s="16"/>
    </row>
    <row r="893">
      <c r="C893" s="16"/>
    </row>
    <row r="894">
      <c r="C894" s="16"/>
    </row>
    <row r="895">
      <c r="C895" s="16"/>
    </row>
    <row r="896">
      <c r="C896" s="16"/>
    </row>
    <row r="897">
      <c r="C897" s="16"/>
    </row>
    <row r="898">
      <c r="C898" s="16"/>
    </row>
    <row r="899">
      <c r="C899" s="16"/>
    </row>
    <row r="900">
      <c r="C900" s="16"/>
    </row>
    <row r="901">
      <c r="C901" s="16"/>
    </row>
    <row r="902">
      <c r="C902" s="16"/>
    </row>
    <row r="903">
      <c r="C903" s="16"/>
    </row>
    <row r="904">
      <c r="C904" s="16"/>
    </row>
    <row r="905">
      <c r="C905" s="16"/>
    </row>
    <row r="906">
      <c r="C906" s="16"/>
    </row>
    <row r="907">
      <c r="C907" s="16"/>
    </row>
    <row r="908">
      <c r="C908" s="16"/>
    </row>
    <row r="909">
      <c r="C909" s="16"/>
    </row>
    <row r="910">
      <c r="C910" s="16"/>
    </row>
    <row r="911">
      <c r="C911" s="16"/>
    </row>
    <row r="912">
      <c r="C912" s="16"/>
    </row>
    <row r="913">
      <c r="C913" s="16"/>
    </row>
    <row r="914">
      <c r="C914" s="16"/>
    </row>
    <row r="915">
      <c r="C915" s="16"/>
    </row>
    <row r="916">
      <c r="C916" s="16"/>
    </row>
    <row r="917">
      <c r="C917" s="16"/>
    </row>
    <row r="918">
      <c r="C918" s="16"/>
    </row>
    <row r="919">
      <c r="C919" s="16"/>
    </row>
    <row r="920">
      <c r="C920" s="16"/>
    </row>
    <row r="921">
      <c r="C921" s="16"/>
    </row>
    <row r="922">
      <c r="C922" s="16"/>
    </row>
    <row r="923">
      <c r="C923" s="16"/>
    </row>
    <row r="924">
      <c r="C924" s="16"/>
    </row>
    <row r="925">
      <c r="C925" s="16"/>
    </row>
    <row r="926">
      <c r="C926" s="16"/>
    </row>
    <row r="927">
      <c r="C927" s="16"/>
    </row>
    <row r="928">
      <c r="C928" s="16"/>
    </row>
    <row r="929">
      <c r="C929" s="16"/>
    </row>
    <row r="930">
      <c r="C930" s="16"/>
    </row>
    <row r="931">
      <c r="C931" s="16"/>
    </row>
    <row r="932">
      <c r="C932" s="16"/>
    </row>
    <row r="933">
      <c r="C933" s="16"/>
    </row>
    <row r="934">
      <c r="C934" s="16"/>
    </row>
    <row r="935">
      <c r="C935" s="16"/>
    </row>
    <row r="936">
      <c r="C936" s="16"/>
    </row>
    <row r="937">
      <c r="C937" s="16"/>
    </row>
    <row r="938">
      <c r="C938" s="16"/>
    </row>
    <row r="939">
      <c r="C939" s="16"/>
    </row>
    <row r="940">
      <c r="C940" s="16"/>
    </row>
    <row r="941">
      <c r="C941" s="16"/>
    </row>
    <row r="942">
      <c r="C942" s="16"/>
    </row>
    <row r="943">
      <c r="C943" s="16"/>
    </row>
    <row r="944">
      <c r="C944" s="16"/>
    </row>
    <row r="945">
      <c r="C945" s="16"/>
    </row>
    <row r="946">
      <c r="C946" s="16"/>
    </row>
    <row r="947">
      <c r="C947" s="16"/>
    </row>
    <row r="948">
      <c r="C948" s="16"/>
    </row>
    <row r="949">
      <c r="C949" s="16"/>
    </row>
    <row r="950">
      <c r="C950" s="16"/>
    </row>
    <row r="951">
      <c r="C951" s="16"/>
    </row>
    <row r="952">
      <c r="C952" s="16"/>
    </row>
    <row r="953">
      <c r="C953" s="16"/>
    </row>
    <row r="954">
      <c r="C954" s="16"/>
    </row>
    <row r="955">
      <c r="C955" s="16"/>
    </row>
    <row r="956">
      <c r="C956" s="16"/>
    </row>
    <row r="957">
      <c r="C957" s="16"/>
    </row>
    <row r="958">
      <c r="C958" s="16"/>
    </row>
    <row r="959">
      <c r="C959" s="16"/>
    </row>
    <row r="960">
      <c r="C960" s="16"/>
    </row>
    <row r="961">
      <c r="C961" s="16"/>
    </row>
    <row r="962">
      <c r="C962" s="16"/>
    </row>
    <row r="963">
      <c r="C963" s="16"/>
    </row>
    <row r="964">
      <c r="C964" s="16"/>
    </row>
    <row r="965">
      <c r="C965" s="16"/>
    </row>
    <row r="966">
      <c r="C966" s="16"/>
    </row>
    <row r="967">
      <c r="C967" s="16"/>
    </row>
    <row r="968">
      <c r="C968" s="16"/>
    </row>
    <row r="969">
      <c r="C969" s="16"/>
    </row>
    <row r="970">
      <c r="C970" s="16"/>
    </row>
    <row r="971">
      <c r="C971" s="16"/>
    </row>
    <row r="972">
      <c r="C972" s="16"/>
    </row>
    <row r="973">
      <c r="C973" s="16"/>
    </row>
    <row r="974">
      <c r="C974" s="16"/>
    </row>
    <row r="975">
      <c r="C975" s="16"/>
    </row>
    <row r="976">
      <c r="C976" s="16"/>
    </row>
    <row r="977">
      <c r="C977" s="16"/>
    </row>
    <row r="978">
      <c r="C978" s="16"/>
    </row>
    <row r="979">
      <c r="C979" s="16"/>
    </row>
    <row r="980">
      <c r="C980" s="16"/>
    </row>
    <row r="981">
      <c r="C981" s="16"/>
    </row>
    <row r="982">
      <c r="C982" s="16"/>
    </row>
    <row r="983">
      <c r="C983" s="16"/>
    </row>
    <row r="984">
      <c r="C984" s="16"/>
    </row>
    <row r="985">
      <c r="C985" s="16"/>
    </row>
    <row r="986">
      <c r="C986" s="16"/>
    </row>
    <row r="987">
      <c r="C987" s="16"/>
    </row>
    <row r="988">
      <c r="C988" s="16"/>
    </row>
    <row r="989">
      <c r="C989" s="16"/>
    </row>
    <row r="990">
      <c r="C990" s="16"/>
    </row>
    <row r="991">
      <c r="C991" s="16"/>
    </row>
    <row r="992">
      <c r="C992" s="16"/>
    </row>
    <row r="993">
      <c r="C993" s="16"/>
    </row>
    <row r="994">
      <c r="C994" s="16"/>
    </row>
    <row r="995">
      <c r="C995" s="16"/>
    </row>
    <row r="996">
      <c r="C996" s="16"/>
    </row>
    <row r="997">
      <c r="C997" s="16"/>
    </row>
    <row r="998">
      <c r="C998" s="16"/>
    </row>
    <row r="999">
      <c r="C999" s="16"/>
    </row>
    <row r="1000">
      <c r="C1000" s="16"/>
    </row>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30.86"/>
  </cols>
  <sheetData>
    <row r="1"/>
    <row r="2"/>
    <row r="3"/>
    <row r="4"/>
    <row r="5"/>
    <row r="6"/>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439</v>
      </c>
    </row>
    <row r="2">
      <c r="A2" s="17" t="s">
        <v>440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441</v>
      </c>
    </row>
    <row r="2">
      <c r="A2" s="17" t="s">
        <v>442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7.71"/>
    <col customWidth="1" min="10" max="10" width="17.71"/>
  </cols>
  <sheetData>
    <row r="1" ht="14.25" customHeight="1">
      <c r="A1" s="1" t="s">
        <v>3</v>
      </c>
      <c r="B1" s="23" t="s">
        <v>443</v>
      </c>
      <c r="C1" s="24" t="s">
        <v>444</v>
      </c>
      <c r="D1" s="1" t="s">
        <v>445</v>
      </c>
      <c r="E1" s="2" t="s">
        <v>446</v>
      </c>
      <c r="F1" s="1" t="s">
        <v>447</v>
      </c>
      <c r="G1" s="2" t="s">
        <v>448</v>
      </c>
      <c r="H1" s="15">
        <f t="shared" ref="H1:I1" si="1">DATEVALUE(TEXT(B2,"mm/dd/yyyy"))</f>
        <v>45458</v>
      </c>
      <c r="I1" s="15">
        <f t="shared" si="1"/>
        <v>45488</v>
      </c>
      <c r="J1" s="21"/>
    </row>
    <row r="2" ht="14.25" customHeight="1">
      <c r="A2" s="25" t="s">
        <v>449</v>
      </c>
      <c r="B2" s="26">
        <v>45458.0</v>
      </c>
      <c r="C2" s="27">
        <v>45488.0</v>
      </c>
      <c r="D2" s="25" t="s">
        <v>450</v>
      </c>
      <c r="E2" s="28">
        <v>150000.0</v>
      </c>
      <c r="F2" s="25" t="s">
        <v>451</v>
      </c>
      <c r="G2" s="28" t="s">
        <v>452</v>
      </c>
      <c r="H2" s="15">
        <f t="shared" ref="H2:I2" si="2">DATEVALUE(TEXT(B3,"mm/dd/yyyy"))</f>
        <v>45566</v>
      </c>
      <c r="I2" s="15">
        <f t="shared" si="2"/>
        <v>45596</v>
      </c>
    </row>
    <row r="3" ht="14.25" customHeight="1">
      <c r="A3" s="25" t="s">
        <v>453</v>
      </c>
      <c r="B3" s="26">
        <v>45566.0</v>
      </c>
      <c r="C3" s="27">
        <v>45596.0</v>
      </c>
      <c r="D3" s="25" t="s">
        <v>454</v>
      </c>
      <c r="E3" s="28">
        <v>200000.0</v>
      </c>
      <c r="F3" s="25" t="s">
        <v>455</v>
      </c>
      <c r="G3" s="28" t="s">
        <v>456</v>
      </c>
      <c r="H3" s="15">
        <f t="shared" ref="H3:I3" si="3">DATEVALUE(TEXT(B4,"mm/dd/yyyy"))</f>
        <v>45651</v>
      </c>
      <c r="I3" s="15">
        <f t="shared" si="3"/>
        <v>45667</v>
      </c>
    </row>
    <row r="4" ht="14.25" customHeight="1">
      <c r="A4" s="25" t="s">
        <v>457</v>
      </c>
      <c r="B4" s="26">
        <v>45651.0</v>
      </c>
      <c r="C4" s="27">
        <v>45667.0</v>
      </c>
      <c r="D4" s="25" t="s">
        <v>458</v>
      </c>
      <c r="E4" s="28">
        <v>250000.0</v>
      </c>
      <c r="F4" s="25" t="s">
        <v>459</v>
      </c>
      <c r="G4" s="28" t="s">
        <v>460</v>
      </c>
      <c r="H4" s="15">
        <f t="shared" ref="H4:I4" si="4">DATEVALUE(TEXT(B5,"mm/dd/yyyy"))</f>
        <v>45717</v>
      </c>
      <c r="I4" s="15">
        <f t="shared" si="4"/>
        <v>45747</v>
      </c>
    </row>
    <row r="5" ht="14.25" customHeight="1">
      <c r="A5" s="25" t="s">
        <v>461</v>
      </c>
      <c r="B5" s="26">
        <v>45717.0</v>
      </c>
      <c r="C5" s="27">
        <v>45747.0</v>
      </c>
      <c r="D5" s="25" t="s">
        <v>462</v>
      </c>
      <c r="E5" s="28">
        <v>180000.0</v>
      </c>
      <c r="F5" s="25" t="s">
        <v>463</v>
      </c>
      <c r="G5" s="28" t="s">
        <v>464</v>
      </c>
      <c r="H5" s="15">
        <f t="shared" ref="H5:I5" si="5">DATEVALUE(TEXT(B6,"mm/dd/yyyy"))</f>
        <v>0</v>
      </c>
      <c r="I5" s="15">
        <f t="shared" si="5"/>
        <v>0</v>
      </c>
    </row>
    <row r="6" ht="14.25" customHeight="1">
      <c r="B6" s="29"/>
      <c r="C6" s="14"/>
      <c r="E6" s="30"/>
      <c r="G6" s="30"/>
    </row>
    <row r="7" ht="14.25" customHeight="1">
      <c r="B7" s="29"/>
      <c r="C7" s="14"/>
      <c r="E7" s="30"/>
      <c r="G7" s="30"/>
    </row>
    <row r="8" ht="14.25" customHeight="1">
      <c r="B8" s="29"/>
      <c r="C8" s="14"/>
      <c r="E8" s="30"/>
      <c r="G8" s="30"/>
    </row>
    <row r="9" ht="14.25" customHeight="1">
      <c r="B9" s="29"/>
      <c r="C9" s="14"/>
      <c r="E9" s="30"/>
      <c r="G9" s="30"/>
    </row>
    <row r="10" ht="14.25" customHeight="1">
      <c r="B10" s="29"/>
      <c r="C10" s="14"/>
      <c r="E10" s="30"/>
      <c r="G10" s="30"/>
    </row>
    <row r="11" ht="14.25" customHeight="1">
      <c r="B11" s="29"/>
      <c r="C11" s="14"/>
      <c r="E11" s="30"/>
      <c r="G11" s="30"/>
    </row>
    <row r="12" ht="14.25" customHeight="1">
      <c r="B12" s="29"/>
      <c r="C12" s="14"/>
      <c r="E12" s="30"/>
      <c r="G12" s="30"/>
    </row>
    <row r="13" ht="14.25" customHeight="1">
      <c r="B13" s="29"/>
      <c r="C13" s="14"/>
      <c r="E13" s="30"/>
      <c r="G13" s="30"/>
    </row>
    <row r="14" ht="14.25" customHeight="1">
      <c r="B14" s="29"/>
      <c r="C14" s="14"/>
      <c r="E14" s="30"/>
      <c r="G14" s="30"/>
    </row>
    <row r="15" ht="14.25" customHeight="1">
      <c r="B15" s="29"/>
      <c r="C15" s="14"/>
      <c r="E15" s="30"/>
      <c r="G15" s="30"/>
    </row>
    <row r="16" ht="14.25" customHeight="1">
      <c r="B16" s="29"/>
      <c r="C16" s="14"/>
      <c r="E16" s="30"/>
      <c r="G16" s="30"/>
    </row>
    <row r="17" ht="14.25" customHeight="1">
      <c r="B17" s="29"/>
      <c r="C17" s="14"/>
      <c r="E17" s="30"/>
      <c r="G17" s="30"/>
    </row>
    <row r="18" ht="14.25" customHeight="1">
      <c r="B18" s="29"/>
      <c r="C18" s="14"/>
      <c r="E18" s="30"/>
      <c r="G18" s="30"/>
    </row>
    <row r="19" ht="14.25" customHeight="1">
      <c r="B19" s="29"/>
      <c r="C19" s="14"/>
      <c r="E19" s="30"/>
      <c r="G19" s="30"/>
    </row>
    <row r="20" ht="14.25" customHeight="1">
      <c r="B20" s="29"/>
      <c r="C20" s="14"/>
      <c r="E20" s="30"/>
      <c r="G20" s="30"/>
    </row>
    <row r="21" ht="14.25" customHeight="1">
      <c r="B21" s="29"/>
      <c r="C21" s="14"/>
      <c r="E21" s="30"/>
      <c r="G21" s="30"/>
    </row>
    <row r="22" ht="14.25" customHeight="1">
      <c r="B22" s="29"/>
      <c r="C22" s="14"/>
      <c r="E22" s="30"/>
      <c r="G22" s="30"/>
    </row>
    <row r="23" ht="14.25" customHeight="1">
      <c r="B23" s="29"/>
      <c r="C23" s="14"/>
      <c r="E23" s="30"/>
      <c r="G23" s="30"/>
    </row>
    <row r="24" ht="14.25" customHeight="1">
      <c r="B24" s="29"/>
      <c r="C24" s="14"/>
      <c r="E24" s="30"/>
      <c r="G24" s="30"/>
    </row>
    <row r="25" ht="14.25" customHeight="1">
      <c r="B25" s="29"/>
      <c r="C25" s="14"/>
      <c r="E25" s="30"/>
      <c r="G25" s="30"/>
    </row>
    <row r="26" ht="14.25" customHeight="1">
      <c r="B26" s="29"/>
      <c r="C26" s="14"/>
      <c r="E26" s="30"/>
      <c r="G26" s="30"/>
    </row>
    <row r="27" ht="14.25" customHeight="1">
      <c r="B27" s="29"/>
      <c r="C27" s="14"/>
      <c r="E27" s="30"/>
      <c r="G27" s="30"/>
    </row>
    <row r="28" ht="14.25" customHeight="1">
      <c r="B28" s="29"/>
      <c r="C28" s="14"/>
      <c r="E28" s="30"/>
      <c r="G28" s="30"/>
    </row>
    <row r="29" ht="14.25" customHeight="1">
      <c r="B29" s="29"/>
      <c r="C29" s="14"/>
      <c r="E29" s="30"/>
      <c r="G29" s="30"/>
    </row>
    <row r="30" ht="14.25" customHeight="1">
      <c r="B30" s="29"/>
      <c r="C30" s="14"/>
      <c r="E30" s="30"/>
      <c r="G30" s="30"/>
    </row>
    <row r="31" ht="14.25" customHeight="1">
      <c r="B31" s="29"/>
      <c r="C31" s="14"/>
      <c r="E31" s="30"/>
      <c r="G31" s="30"/>
    </row>
    <row r="32" ht="14.25" customHeight="1">
      <c r="B32" s="29"/>
      <c r="C32" s="14"/>
      <c r="E32" s="30"/>
      <c r="G32" s="30"/>
    </row>
    <row r="33" ht="14.25" customHeight="1">
      <c r="B33" s="29"/>
      <c r="C33" s="14"/>
      <c r="E33" s="30"/>
      <c r="G33" s="30"/>
    </row>
    <row r="34" ht="14.25" customHeight="1">
      <c r="B34" s="29"/>
      <c r="C34" s="14"/>
      <c r="E34" s="30"/>
      <c r="G34" s="30"/>
    </row>
    <row r="35" ht="14.25" customHeight="1">
      <c r="B35" s="29"/>
      <c r="C35" s="14"/>
      <c r="E35" s="30"/>
      <c r="G35" s="30"/>
    </row>
    <row r="36" ht="14.25" customHeight="1">
      <c r="B36" s="29"/>
      <c r="C36" s="14"/>
      <c r="E36" s="30"/>
      <c r="G36" s="30"/>
    </row>
    <row r="37" ht="14.25" customHeight="1">
      <c r="B37" s="29"/>
      <c r="C37" s="14"/>
      <c r="E37" s="30"/>
      <c r="G37" s="30"/>
    </row>
    <row r="38" ht="14.25" customHeight="1">
      <c r="B38" s="29"/>
      <c r="C38" s="14"/>
      <c r="E38" s="30"/>
      <c r="G38" s="30"/>
    </row>
    <row r="39" ht="14.25" customHeight="1">
      <c r="B39" s="29"/>
      <c r="C39" s="14"/>
      <c r="E39" s="30"/>
      <c r="G39" s="30"/>
    </row>
    <row r="40" ht="14.25" customHeight="1">
      <c r="B40" s="29"/>
      <c r="C40" s="14"/>
      <c r="E40" s="30"/>
      <c r="G40" s="30"/>
    </row>
    <row r="41" ht="14.25" customHeight="1">
      <c r="B41" s="29"/>
      <c r="C41" s="14"/>
      <c r="E41" s="30"/>
      <c r="G41" s="30"/>
    </row>
    <row r="42" ht="14.25" customHeight="1">
      <c r="B42" s="29"/>
      <c r="C42" s="14"/>
      <c r="E42" s="30"/>
      <c r="G42" s="30"/>
    </row>
    <row r="43" ht="14.25" customHeight="1">
      <c r="B43" s="29"/>
      <c r="C43" s="14"/>
      <c r="E43" s="30"/>
      <c r="G43" s="30"/>
    </row>
    <row r="44" ht="14.25" customHeight="1">
      <c r="B44" s="29"/>
      <c r="C44" s="14"/>
      <c r="E44" s="30"/>
      <c r="G44" s="30"/>
    </row>
    <row r="45" ht="14.25" customHeight="1">
      <c r="B45" s="29"/>
      <c r="C45" s="14"/>
      <c r="E45" s="30"/>
      <c r="G45" s="30"/>
    </row>
    <row r="46" ht="14.25" customHeight="1">
      <c r="B46" s="29"/>
      <c r="C46" s="14"/>
      <c r="E46" s="30"/>
      <c r="G46" s="30"/>
    </row>
    <row r="47" ht="14.25" customHeight="1">
      <c r="B47" s="29"/>
      <c r="C47" s="14"/>
      <c r="E47" s="30"/>
      <c r="G47" s="30"/>
    </row>
    <row r="48" ht="14.25" customHeight="1">
      <c r="B48" s="29"/>
      <c r="C48" s="14"/>
      <c r="E48" s="30"/>
      <c r="G48" s="30"/>
    </row>
    <row r="49" ht="14.25" customHeight="1">
      <c r="B49" s="29"/>
      <c r="C49" s="14"/>
      <c r="E49" s="30"/>
      <c r="G49" s="30"/>
    </row>
    <row r="50" ht="14.25" customHeight="1">
      <c r="B50" s="29"/>
      <c r="C50" s="14"/>
      <c r="E50" s="30"/>
      <c r="G50" s="30"/>
    </row>
    <row r="51" ht="14.25" customHeight="1">
      <c r="B51" s="29"/>
      <c r="C51" s="14"/>
      <c r="E51" s="30"/>
      <c r="G51" s="30"/>
    </row>
    <row r="52" ht="14.25" customHeight="1">
      <c r="B52" s="29"/>
      <c r="C52" s="14"/>
      <c r="E52" s="30"/>
      <c r="G52" s="30"/>
    </row>
    <row r="53" ht="14.25" customHeight="1">
      <c r="B53" s="29"/>
      <c r="C53" s="14"/>
      <c r="E53" s="30"/>
      <c r="G53" s="30"/>
    </row>
    <row r="54" ht="14.25" customHeight="1">
      <c r="B54" s="29"/>
      <c r="C54" s="14"/>
      <c r="E54" s="30"/>
      <c r="G54" s="30"/>
    </row>
    <row r="55" ht="14.25" customHeight="1">
      <c r="B55" s="29"/>
      <c r="C55" s="14"/>
      <c r="E55" s="30"/>
      <c r="G55" s="30"/>
    </row>
    <row r="56" ht="14.25" customHeight="1">
      <c r="B56" s="29"/>
      <c r="C56" s="14"/>
      <c r="E56" s="30"/>
      <c r="G56" s="30"/>
    </row>
    <row r="57" ht="14.25" customHeight="1">
      <c r="B57" s="29"/>
      <c r="C57" s="14"/>
      <c r="E57" s="30"/>
      <c r="G57" s="30"/>
    </row>
    <row r="58" ht="14.25" customHeight="1">
      <c r="B58" s="29"/>
      <c r="C58" s="14"/>
      <c r="E58" s="30"/>
      <c r="G58" s="30"/>
    </row>
    <row r="59" ht="14.25" customHeight="1">
      <c r="B59" s="29"/>
      <c r="C59" s="14"/>
      <c r="E59" s="30"/>
      <c r="G59" s="30"/>
    </row>
    <row r="60" ht="14.25" customHeight="1">
      <c r="B60" s="29"/>
      <c r="C60" s="14"/>
      <c r="E60" s="30"/>
      <c r="G60" s="30"/>
    </row>
    <row r="61" ht="14.25" customHeight="1">
      <c r="B61" s="29"/>
      <c r="C61" s="14"/>
      <c r="E61" s="30"/>
      <c r="G61" s="30"/>
    </row>
    <row r="62" ht="14.25" customHeight="1">
      <c r="B62" s="29"/>
      <c r="C62" s="14"/>
      <c r="E62" s="30"/>
      <c r="G62" s="30"/>
    </row>
    <row r="63" ht="14.25" customHeight="1">
      <c r="B63" s="29"/>
      <c r="C63" s="14"/>
      <c r="E63" s="30"/>
      <c r="G63" s="30"/>
    </row>
    <row r="64" ht="14.25" customHeight="1">
      <c r="B64" s="29"/>
      <c r="C64" s="14"/>
      <c r="E64" s="30"/>
      <c r="G64" s="30"/>
    </row>
    <row r="65" ht="14.25" customHeight="1">
      <c r="B65" s="29"/>
      <c r="C65" s="14"/>
      <c r="E65" s="30"/>
      <c r="G65" s="30"/>
    </row>
    <row r="66" ht="14.25" customHeight="1">
      <c r="B66" s="29"/>
      <c r="C66" s="14"/>
      <c r="E66" s="30"/>
      <c r="G66" s="30"/>
    </row>
    <row r="67" ht="14.25" customHeight="1">
      <c r="B67" s="29"/>
      <c r="C67" s="14"/>
      <c r="E67" s="30"/>
      <c r="G67" s="30"/>
    </row>
    <row r="68" ht="14.25" customHeight="1">
      <c r="B68" s="29"/>
      <c r="C68" s="14"/>
      <c r="E68" s="30"/>
      <c r="G68" s="30"/>
    </row>
    <row r="69" ht="14.25" customHeight="1">
      <c r="B69" s="29"/>
      <c r="C69" s="14"/>
      <c r="E69" s="30"/>
      <c r="G69" s="30"/>
    </row>
    <row r="70" ht="14.25" customHeight="1">
      <c r="B70" s="29"/>
      <c r="C70" s="14"/>
      <c r="E70" s="30"/>
      <c r="G70" s="30"/>
    </row>
    <row r="71" ht="14.25" customHeight="1">
      <c r="B71" s="29"/>
      <c r="C71" s="14"/>
      <c r="E71" s="30"/>
      <c r="G71" s="30"/>
    </row>
    <row r="72" ht="14.25" customHeight="1">
      <c r="B72" s="29"/>
      <c r="C72" s="14"/>
      <c r="E72" s="30"/>
      <c r="G72" s="30"/>
    </row>
    <row r="73" ht="14.25" customHeight="1">
      <c r="B73" s="29"/>
      <c r="C73" s="14"/>
      <c r="E73" s="30"/>
      <c r="G73" s="30"/>
    </row>
    <row r="74" ht="14.25" customHeight="1">
      <c r="B74" s="29"/>
      <c r="C74" s="14"/>
      <c r="E74" s="30"/>
      <c r="G74" s="30"/>
    </row>
    <row r="75" ht="14.25" customHeight="1">
      <c r="B75" s="29"/>
      <c r="C75" s="14"/>
      <c r="E75" s="30"/>
      <c r="G75" s="30"/>
    </row>
    <row r="76" ht="14.25" customHeight="1">
      <c r="B76" s="29"/>
      <c r="C76" s="14"/>
      <c r="E76" s="30"/>
      <c r="G76" s="30"/>
    </row>
    <row r="77" ht="14.25" customHeight="1">
      <c r="B77" s="29"/>
      <c r="C77" s="14"/>
      <c r="E77" s="30"/>
      <c r="G77" s="30"/>
    </row>
    <row r="78" ht="14.25" customHeight="1">
      <c r="B78" s="29"/>
      <c r="C78" s="14"/>
      <c r="E78" s="30"/>
      <c r="G78" s="30"/>
    </row>
    <row r="79" ht="14.25" customHeight="1">
      <c r="B79" s="29"/>
      <c r="C79" s="14"/>
      <c r="E79" s="30"/>
      <c r="G79" s="30"/>
    </row>
    <row r="80" ht="14.25" customHeight="1">
      <c r="B80" s="29"/>
      <c r="C80" s="14"/>
      <c r="E80" s="30"/>
      <c r="G80" s="30"/>
    </row>
    <row r="81" ht="14.25" customHeight="1">
      <c r="B81" s="29"/>
      <c r="C81" s="14"/>
      <c r="E81" s="30"/>
      <c r="G81" s="30"/>
    </row>
    <row r="82" ht="14.25" customHeight="1">
      <c r="B82" s="29"/>
      <c r="C82" s="14"/>
      <c r="E82" s="30"/>
      <c r="G82" s="30"/>
    </row>
    <row r="83" ht="14.25" customHeight="1">
      <c r="B83" s="29"/>
      <c r="C83" s="14"/>
      <c r="E83" s="30"/>
      <c r="G83" s="30"/>
    </row>
    <row r="84" ht="14.25" customHeight="1">
      <c r="B84" s="29"/>
      <c r="C84" s="14"/>
      <c r="E84" s="30"/>
      <c r="G84" s="30"/>
    </row>
    <row r="85" ht="14.25" customHeight="1">
      <c r="B85" s="29"/>
      <c r="C85" s="14"/>
      <c r="E85" s="30"/>
      <c r="G85" s="30"/>
    </row>
    <row r="86" ht="14.25" customHeight="1">
      <c r="B86" s="29"/>
      <c r="C86" s="14"/>
      <c r="E86" s="30"/>
      <c r="G86" s="30"/>
    </row>
    <row r="87" ht="14.25" customHeight="1">
      <c r="B87" s="29"/>
      <c r="C87" s="14"/>
      <c r="E87" s="30"/>
      <c r="G87" s="30"/>
    </row>
    <row r="88" ht="14.25" customHeight="1">
      <c r="B88" s="29"/>
      <c r="C88" s="14"/>
      <c r="E88" s="30"/>
      <c r="G88" s="30"/>
    </row>
    <row r="89" ht="14.25" customHeight="1">
      <c r="B89" s="29"/>
      <c r="C89" s="14"/>
      <c r="E89" s="30"/>
      <c r="G89" s="30"/>
    </row>
    <row r="90" ht="14.25" customHeight="1">
      <c r="B90" s="29"/>
      <c r="C90" s="14"/>
      <c r="E90" s="30"/>
      <c r="G90" s="30"/>
    </row>
    <row r="91" ht="14.25" customHeight="1">
      <c r="B91" s="29"/>
      <c r="C91" s="14"/>
      <c r="E91" s="30"/>
      <c r="G91" s="30"/>
    </row>
    <row r="92" ht="14.25" customHeight="1">
      <c r="B92" s="29"/>
      <c r="C92" s="14"/>
      <c r="E92" s="30"/>
      <c r="G92" s="30"/>
    </row>
    <row r="93" ht="14.25" customHeight="1">
      <c r="B93" s="29"/>
      <c r="C93" s="14"/>
      <c r="E93" s="30"/>
      <c r="G93" s="30"/>
    </row>
    <row r="94" ht="14.25" customHeight="1">
      <c r="B94" s="29"/>
      <c r="C94" s="14"/>
      <c r="E94" s="30"/>
      <c r="G94" s="30"/>
    </row>
    <row r="95" ht="14.25" customHeight="1">
      <c r="B95" s="29"/>
      <c r="C95" s="14"/>
      <c r="E95" s="30"/>
      <c r="G95" s="30"/>
    </row>
    <row r="96" ht="14.25" customHeight="1">
      <c r="B96" s="29"/>
      <c r="C96" s="14"/>
      <c r="E96" s="30"/>
      <c r="G96" s="30"/>
    </row>
    <row r="97" ht="14.25" customHeight="1">
      <c r="B97" s="29"/>
      <c r="C97" s="14"/>
      <c r="E97" s="30"/>
      <c r="G97" s="30"/>
    </row>
    <row r="98" ht="14.25" customHeight="1">
      <c r="B98" s="29"/>
      <c r="C98" s="14"/>
      <c r="E98" s="30"/>
      <c r="G98" s="30"/>
    </row>
    <row r="99" ht="14.25" customHeight="1">
      <c r="B99" s="29"/>
      <c r="C99" s="14"/>
      <c r="E99" s="30"/>
      <c r="G99" s="30"/>
    </row>
    <row r="100" ht="14.25" customHeight="1">
      <c r="B100" s="29"/>
      <c r="C100" s="14"/>
      <c r="E100" s="30"/>
      <c r="G100" s="30"/>
    </row>
    <row r="101" ht="14.25" customHeight="1">
      <c r="B101" s="29"/>
      <c r="C101" s="14"/>
      <c r="E101" s="30"/>
      <c r="G101" s="30"/>
    </row>
    <row r="102" ht="14.25" customHeight="1">
      <c r="B102" s="29"/>
      <c r="C102" s="14"/>
      <c r="E102" s="30"/>
      <c r="G102" s="30"/>
    </row>
    <row r="103" ht="14.25" customHeight="1">
      <c r="B103" s="29"/>
      <c r="C103" s="14"/>
      <c r="E103" s="30"/>
      <c r="G103" s="30"/>
    </row>
    <row r="104" ht="14.25" customHeight="1">
      <c r="B104" s="29"/>
      <c r="C104" s="14"/>
      <c r="E104" s="30"/>
      <c r="G104" s="30"/>
    </row>
    <row r="105" ht="14.25" customHeight="1">
      <c r="B105" s="29"/>
      <c r="C105" s="14"/>
      <c r="E105" s="30"/>
      <c r="G105" s="30"/>
    </row>
    <row r="106" ht="14.25" customHeight="1">
      <c r="B106" s="29"/>
      <c r="C106" s="14"/>
      <c r="E106" s="30"/>
      <c r="G106" s="30"/>
    </row>
    <row r="107" ht="14.25" customHeight="1">
      <c r="B107" s="29"/>
      <c r="C107" s="14"/>
      <c r="E107" s="30"/>
      <c r="G107" s="30"/>
    </row>
    <row r="108" ht="14.25" customHeight="1">
      <c r="B108" s="29"/>
      <c r="C108" s="14"/>
      <c r="E108" s="30"/>
      <c r="G108" s="30"/>
    </row>
    <row r="109" ht="14.25" customHeight="1">
      <c r="B109" s="29"/>
      <c r="C109" s="14"/>
      <c r="E109" s="30"/>
      <c r="G109" s="30"/>
    </row>
    <row r="110" ht="14.25" customHeight="1">
      <c r="B110" s="29"/>
      <c r="C110" s="14"/>
      <c r="E110" s="30"/>
      <c r="G110" s="30"/>
    </row>
    <row r="111" ht="14.25" customHeight="1">
      <c r="B111" s="29"/>
      <c r="C111" s="14"/>
      <c r="E111" s="30"/>
      <c r="G111" s="30"/>
    </row>
    <row r="112" ht="14.25" customHeight="1">
      <c r="B112" s="29"/>
      <c r="C112" s="14"/>
      <c r="E112" s="30"/>
      <c r="G112" s="30"/>
    </row>
    <row r="113" ht="14.25" customHeight="1">
      <c r="B113" s="29"/>
      <c r="C113" s="14"/>
      <c r="E113" s="30"/>
      <c r="G113" s="30"/>
    </row>
    <row r="114" ht="14.25" customHeight="1">
      <c r="B114" s="29"/>
      <c r="C114" s="14"/>
      <c r="E114" s="30"/>
      <c r="G114" s="30"/>
    </row>
    <row r="115" ht="14.25" customHeight="1">
      <c r="B115" s="29"/>
      <c r="C115" s="14"/>
      <c r="E115" s="30"/>
      <c r="G115" s="30"/>
    </row>
    <row r="116" ht="14.25" customHeight="1">
      <c r="B116" s="29"/>
      <c r="C116" s="14"/>
      <c r="E116" s="30"/>
      <c r="G116" s="30"/>
    </row>
    <row r="117" ht="14.25" customHeight="1">
      <c r="B117" s="29"/>
      <c r="C117" s="14"/>
      <c r="E117" s="30"/>
      <c r="G117" s="30"/>
    </row>
    <row r="118" ht="14.25" customHeight="1">
      <c r="B118" s="29"/>
      <c r="C118" s="14"/>
      <c r="E118" s="30"/>
      <c r="G118" s="30"/>
    </row>
    <row r="119" ht="14.25" customHeight="1">
      <c r="B119" s="29"/>
      <c r="C119" s="14"/>
      <c r="E119" s="30"/>
      <c r="G119" s="30"/>
    </row>
    <row r="120" ht="14.25" customHeight="1">
      <c r="B120" s="29"/>
      <c r="C120" s="14"/>
      <c r="E120" s="30"/>
      <c r="G120" s="30"/>
    </row>
    <row r="121" ht="14.25" customHeight="1">
      <c r="B121" s="29"/>
      <c r="C121" s="14"/>
      <c r="E121" s="30"/>
      <c r="G121" s="30"/>
    </row>
    <row r="122" ht="14.25" customHeight="1">
      <c r="B122" s="29"/>
      <c r="C122" s="14"/>
      <c r="E122" s="30"/>
      <c r="G122" s="30"/>
    </row>
    <row r="123" ht="14.25" customHeight="1">
      <c r="B123" s="29"/>
      <c r="C123" s="14"/>
      <c r="E123" s="30"/>
      <c r="G123" s="30"/>
    </row>
    <row r="124" ht="14.25" customHeight="1">
      <c r="B124" s="29"/>
      <c r="C124" s="14"/>
      <c r="E124" s="30"/>
      <c r="G124" s="30"/>
    </row>
    <row r="125" ht="14.25" customHeight="1">
      <c r="B125" s="29"/>
      <c r="C125" s="14"/>
      <c r="E125" s="30"/>
      <c r="G125" s="30"/>
    </row>
    <row r="126" ht="14.25" customHeight="1">
      <c r="B126" s="29"/>
      <c r="C126" s="14"/>
      <c r="E126" s="30"/>
      <c r="G126" s="30"/>
    </row>
    <row r="127" ht="14.25" customHeight="1">
      <c r="B127" s="29"/>
      <c r="C127" s="14"/>
      <c r="E127" s="30"/>
      <c r="G127" s="30"/>
    </row>
    <row r="128" ht="14.25" customHeight="1">
      <c r="B128" s="29"/>
      <c r="C128" s="14"/>
      <c r="E128" s="30"/>
      <c r="G128" s="30"/>
    </row>
    <row r="129" ht="14.25" customHeight="1">
      <c r="B129" s="29"/>
      <c r="C129" s="14"/>
      <c r="E129" s="30"/>
      <c r="G129" s="30"/>
    </row>
    <row r="130" ht="14.25" customHeight="1">
      <c r="B130" s="29"/>
      <c r="C130" s="14"/>
      <c r="E130" s="30"/>
      <c r="G130" s="30"/>
    </row>
    <row r="131" ht="14.25" customHeight="1">
      <c r="B131" s="29"/>
      <c r="C131" s="14"/>
      <c r="E131" s="30"/>
      <c r="G131" s="30"/>
    </row>
    <row r="132" ht="14.25" customHeight="1">
      <c r="B132" s="29"/>
      <c r="C132" s="14"/>
      <c r="E132" s="30"/>
      <c r="G132" s="30"/>
    </row>
    <row r="133" ht="14.25" customHeight="1">
      <c r="B133" s="29"/>
      <c r="C133" s="14"/>
      <c r="E133" s="30"/>
      <c r="G133" s="30"/>
    </row>
    <row r="134" ht="14.25" customHeight="1">
      <c r="B134" s="29"/>
      <c r="C134" s="14"/>
      <c r="E134" s="30"/>
      <c r="G134" s="30"/>
    </row>
    <row r="135" ht="14.25" customHeight="1">
      <c r="B135" s="29"/>
      <c r="C135" s="14"/>
      <c r="E135" s="30"/>
      <c r="G135" s="30"/>
    </row>
    <row r="136" ht="14.25" customHeight="1">
      <c r="B136" s="29"/>
      <c r="C136" s="14"/>
      <c r="E136" s="30"/>
      <c r="G136" s="30"/>
    </row>
    <row r="137" ht="14.25" customHeight="1">
      <c r="B137" s="29"/>
      <c r="C137" s="14"/>
      <c r="E137" s="30"/>
      <c r="G137" s="30"/>
    </row>
    <row r="138" ht="14.25" customHeight="1">
      <c r="B138" s="29"/>
      <c r="C138" s="14"/>
      <c r="E138" s="30"/>
      <c r="G138" s="30"/>
    </row>
    <row r="139" ht="14.25" customHeight="1">
      <c r="B139" s="29"/>
      <c r="C139" s="14"/>
      <c r="E139" s="30"/>
      <c r="G139" s="30"/>
    </row>
    <row r="140" ht="14.25" customHeight="1">
      <c r="B140" s="29"/>
      <c r="C140" s="14"/>
      <c r="E140" s="30"/>
      <c r="G140" s="30"/>
    </row>
    <row r="141" ht="14.25" customHeight="1">
      <c r="B141" s="29"/>
      <c r="C141" s="14"/>
      <c r="E141" s="30"/>
      <c r="G141" s="30"/>
    </row>
    <row r="142" ht="14.25" customHeight="1">
      <c r="B142" s="29"/>
      <c r="C142" s="14"/>
      <c r="E142" s="30"/>
      <c r="G142" s="30"/>
    </row>
    <row r="143" ht="14.25" customHeight="1">
      <c r="B143" s="29"/>
      <c r="C143" s="14"/>
      <c r="E143" s="30"/>
      <c r="G143" s="30"/>
    </row>
    <row r="144" ht="14.25" customHeight="1">
      <c r="B144" s="29"/>
      <c r="C144" s="14"/>
      <c r="E144" s="30"/>
      <c r="G144" s="30"/>
    </row>
    <row r="145" ht="14.25" customHeight="1">
      <c r="B145" s="29"/>
      <c r="C145" s="14"/>
      <c r="E145" s="30"/>
      <c r="G145" s="30"/>
    </row>
    <row r="146" ht="14.25" customHeight="1">
      <c r="B146" s="29"/>
      <c r="C146" s="14"/>
      <c r="E146" s="30"/>
      <c r="G146" s="30"/>
    </row>
    <row r="147" ht="14.25" customHeight="1">
      <c r="B147" s="29"/>
      <c r="C147" s="14"/>
      <c r="E147" s="30"/>
      <c r="G147" s="30"/>
    </row>
    <row r="148" ht="14.25" customHeight="1">
      <c r="B148" s="29"/>
      <c r="C148" s="14"/>
      <c r="E148" s="30"/>
      <c r="G148" s="30"/>
    </row>
    <row r="149" ht="14.25" customHeight="1">
      <c r="B149" s="29"/>
      <c r="C149" s="14"/>
      <c r="E149" s="30"/>
      <c r="G149" s="30"/>
    </row>
    <row r="150" ht="14.25" customHeight="1">
      <c r="B150" s="29"/>
      <c r="C150" s="14"/>
      <c r="E150" s="30"/>
      <c r="G150" s="30"/>
    </row>
    <row r="151" ht="14.25" customHeight="1">
      <c r="B151" s="29"/>
      <c r="C151" s="14"/>
      <c r="E151" s="30"/>
      <c r="G151" s="30"/>
    </row>
    <row r="152" ht="14.25" customHeight="1">
      <c r="B152" s="29"/>
      <c r="C152" s="14"/>
      <c r="E152" s="30"/>
      <c r="G152" s="30"/>
    </row>
    <row r="153" ht="14.25" customHeight="1">
      <c r="B153" s="29"/>
      <c r="C153" s="14"/>
      <c r="E153" s="30"/>
      <c r="G153" s="30"/>
    </row>
    <row r="154" ht="14.25" customHeight="1">
      <c r="B154" s="29"/>
      <c r="C154" s="14"/>
      <c r="E154" s="30"/>
      <c r="G154" s="30"/>
    </row>
    <row r="155" ht="14.25" customHeight="1">
      <c r="B155" s="29"/>
      <c r="C155" s="14"/>
      <c r="E155" s="30"/>
      <c r="G155" s="30"/>
    </row>
    <row r="156" ht="14.25" customHeight="1">
      <c r="B156" s="29"/>
      <c r="C156" s="14"/>
      <c r="E156" s="30"/>
      <c r="G156" s="30"/>
    </row>
    <row r="157" ht="14.25" customHeight="1">
      <c r="B157" s="29"/>
      <c r="C157" s="14"/>
      <c r="E157" s="30"/>
      <c r="G157" s="30"/>
    </row>
    <row r="158" ht="14.25" customHeight="1">
      <c r="B158" s="29"/>
      <c r="C158" s="14"/>
      <c r="E158" s="30"/>
      <c r="G158" s="30"/>
    </row>
    <row r="159" ht="14.25" customHeight="1">
      <c r="B159" s="29"/>
      <c r="C159" s="14"/>
      <c r="E159" s="30"/>
      <c r="G159" s="30"/>
    </row>
    <row r="160" ht="14.25" customHeight="1">
      <c r="B160" s="29"/>
      <c r="C160" s="14"/>
      <c r="E160" s="30"/>
      <c r="G160" s="30"/>
    </row>
    <row r="161" ht="14.25" customHeight="1">
      <c r="B161" s="29"/>
      <c r="C161" s="14"/>
      <c r="E161" s="30"/>
      <c r="G161" s="30"/>
    </row>
    <row r="162" ht="14.25" customHeight="1">
      <c r="B162" s="29"/>
      <c r="C162" s="14"/>
      <c r="E162" s="30"/>
      <c r="G162" s="30"/>
    </row>
    <row r="163" ht="14.25" customHeight="1">
      <c r="B163" s="29"/>
      <c r="C163" s="14"/>
      <c r="E163" s="30"/>
      <c r="G163" s="30"/>
    </row>
    <row r="164" ht="14.25" customHeight="1">
      <c r="B164" s="29"/>
      <c r="C164" s="14"/>
      <c r="E164" s="30"/>
      <c r="G164" s="30"/>
    </row>
    <row r="165" ht="14.25" customHeight="1">
      <c r="B165" s="29"/>
      <c r="C165" s="14"/>
      <c r="E165" s="30"/>
      <c r="G165" s="30"/>
    </row>
    <row r="166" ht="14.25" customHeight="1">
      <c r="B166" s="29"/>
      <c r="C166" s="14"/>
      <c r="E166" s="30"/>
      <c r="G166" s="30"/>
    </row>
    <row r="167" ht="14.25" customHeight="1">
      <c r="B167" s="29"/>
      <c r="C167" s="14"/>
      <c r="E167" s="30"/>
      <c r="G167" s="30"/>
    </row>
    <row r="168" ht="14.25" customHeight="1">
      <c r="B168" s="29"/>
      <c r="C168" s="14"/>
      <c r="E168" s="30"/>
      <c r="G168" s="30"/>
    </row>
    <row r="169" ht="14.25" customHeight="1">
      <c r="B169" s="29"/>
      <c r="C169" s="14"/>
      <c r="E169" s="30"/>
      <c r="G169" s="30"/>
    </row>
    <row r="170" ht="14.25" customHeight="1">
      <c r="B170" s="29"/>
      <c r="C170" s="14"/>
      <c r="E170" s="30"/>
      <c r="G170" s="30"/>
    </row>
    <row r="171" ht="14.25" customHeight="1">
      <c r="B171" s="29"/>
      <c r="C171" s="14"/>
      <c r="E171" s="30"/>
      <c r="G171" s="30"/>
    </row>
    <row r="172" ht="14.25" customHeight="1">
      <c r="B172" s="29"/>
      <c r="C172" s="14"/>
      <c r="E172" s="30"/>
      <c r="G172" s="30"/>
    </row>
    <row r="173" ht="14.25" customHeight="1">
      <c r="B173" s="29"/>
      <c r="C173" s="14"/>
      <c r="E173" s="30"/>
      <c r="G173" s="30"/>
    </row>
    <row r="174" ht="14.25" customHeight="1">
      <c r="B174" s="29"/>
      <c r="C174" s="14"/>
      <c r="E174" s="30"/>
      <c r="G174" s="30"/>
    </row>
    <row r="175" ht="14.25" customHeight="1">
      <c r="B175" s="29"/>
      <c r="C175" s="14"/>
      <c r="E175" s="30"/>
      <c r="G175" s="30"/>
    </row>
    <row r="176" ht="14.25" customHeight="1">
      <c r="B176" s="29"/>
      <c r="C176" s="14"/>
      <c r="E176" s="30"/>
      <c r="G176" s="30"/>
    </row>
    <row r="177" ht="14.25" customHeight="1">
      <c r="B177" s="29"/>
      <c r="C177" s="14"/>
      <c r="E177" s="30"/>
      <c r="G177" s="30"/>
    </row>
    <row r="178" ht="14.25" customHeight="1">
      <c r="B178" s="29"/>
      <c r="C178" s="14"/>
      <c r="E178" s="30"/>
      <c r="G178" s="30"/>
    </row>
    <row r="179" ht="14.25" customHeight="1">
      <c r="B179" s="29"/>
      <c r="C179" s="14"/>
      <c r="E179" s="30"/>
      <c r="G179" s="30"/>
    </row>
    <row r="180" ht="14.25" customHeight="1">
      <c r="B180" s="29"/>
      <c r="C180" s="14"/>
      <c r="E180" s="30"/>
      <c r="G180" s="30"/>
    </row>
    <row r="181" ht="14.25" customHeight="1">
      <c r="B181" s="29"/>
      <c r="C181" s="14"/>
      <c r="E181" s="30"/>
      <c r="G181" s="30"/>
    </row>
    <row r="182" ht="14.25" customHeight="1">
      <c r="B182" s="29"/>
      <c r="C182" s="14"/>
      <c r="E182" s="30"/>
      <c r="G182" s="30"/>
    </row>
    <row r="183" ht="14.25" customHeight="1">
      <c r="B183" s="29"/>
      <c r="C183" s="14"/>
      <c r="E183" s="30"/>
      <c r="G183" s="30"/>
    </row>
    <row r="184" ht="14.25" customHeight="1">
      <c r="B184" s="29"/>
      <c r="C184" s="14"/>
      <c r="E184" s="30"/>
      <c r="G184" s="30"/>
    </row>
    <row r="185" ht="14.25" customHeight="1">
      <c r="B185" s="29"/>
      <c r="C185" s="14"/>
      <c r="E185" s="30"/>
      <c r="G185" s="30"/>
    </row>
    <row r="186" ht="14.25" customHeight="1">
      <c r="B186" s="29"/>
      <c r="C186" s="14"/>
      <c r="E186" s="30"/>
      <c r="G186" s="30"/>
    </row>
    <row r="187" ht="14.25" customHeight="1">
      <c r="B187" s="29"/>
      <c r="C187" s="14"/>
      <c r="E187" s="30"/>
      <c r="G187" s="30"/>
    </row>
    <row r="188" ht="14.25" customHeight="1">
      <c r="B188" s="29"/>
      <c r="C188" s="14"/>
      <c r="E188" s="30"/>
      <c r="G188" s="30"/>
    </row>
    <row r="189" ht="14.25" customHeight="1">
      <c r="B189" s="29"/>
      <c r="C189" s="14"/>
      <c r="E189" s="30"/>
      <c r="G189" s="30"/>
    </row>
    <row r="190" ht="14.25" customHeight="1">
      <c r="B190" s="29"/>
      <c r="C190" s="14"/>
      <c r="E190" s="30"/>
      <c r="G190" s="30"/>
    </row>
    <row r="191" ht="14.25" customHeight="1">
      <c r="B191" s="29"/>
      <c r="C191" s="14"/>
      <c r="E191" s="30"/>
      <c r="G191" s="30"/>
    </row>
    <row r="192" ht="14.25" customHeight="1">
      <c r="B192" s="29"/>
      <c r="C192" s="14"/>
      <c r="E192" s="30"/>
      <c r="G192" s="30"/>
    </row>
    <row r="193" ht="14.25" customHeight="1">
      <c r="B193" s="29"/>
      <c r="C193" s="14"/>
      <c r="E193" s="30"/>
      <c r="G193" s="30"/>
    </row>
    <row r="194" ht="14.25" customHeight="1">
      <c r="B194" s="29"/>
      <c r="C194" s="14"/>
      <c r="E194" s="30"/>
      <c r="G194" s="30"/>
    </row>
    <row r="195" ht="14.25" customHeight="1">
      <c r="B195" s="29"/>
      <c r="C195" s="14"/>
      <c r="E195" s="30"/>
      <c r="G195" s="30"/>
    </row>
    <row r="196" ht="14.25" customHeight="1">
      <c r="B196" s="29"/>
      <c r="C196" s="14"/>
      <c r="E196" s="30"/>
      <c r="G196" s="30"/>
    </row>
    <row r="197" ht="14.25" customHeight="1">
      <c r="B197" s="29"/>
      <c r="C197" s="14"/>
      <c r="E197" s="30"/>
      <c r="G197" s="30"/>
    </row>
    <row r="198" ht="14.25" customHeight="1">
      <c r="B198" s="29"/>
      <c r="C198" s="14"/>
      <c r="E198" s="30"/>
      <c r="G198" s="30"/>
    </row>
    <row r="199" ht="14.25" customHeight="1">
      <c r="B199" s="29"/>
      <c r="C199" s="14"/>
      <c r="E199" s="30"/>
      <c r="G199" s="30"/>
    </row>
    <row r="200" ht="14.25" customHeight="1">
      <c r="B200" s="29"/>
      <c r="C200" s="14"/>
      <c r="E200" s="30"/>
      <c r="G200" s="30"/>
    </row>
    <row r="201" ht="14.25" customHeight="1">
      <c r="B201" s="29"/>
      <c r="C201" s="14"/>
      <c r="E201" s="30"/>
      <c r="G201" s="30"/>
    </row>
    <row r="202" ht="14.25" customHeight="1">
      <c r="B202" s="29"/>
      <c r="C202" s="14"/>
      <c r="E202" s="30"/>
      <c r="G202" s="30"/>
    </row>
    <row r="203" ht="14.25" customHeight="1">
      <c r="B203" s="29"/>
      <c r="C203" s="14"/>
      <c r="E203" s="30"/>
      <c r="G203" s="30"/>
    </row>
    <row r="204" ht="14.25" customHeight="1">
      <c r="B204" s="29"/>
      <c r="C204" s="14"/>
      <c r="E204" s="30"/>
      <c r="G204" s="30"/>
    </row>
    <row r="205" ht="14.25" customHeight="1">
      <c r="B205" s="29"/>
      <c r="C205" s="14"/>
      <c r="E205" s="30"/>
      <c r="G205" s="30"/>
    </row>
    <row r="206" ht="14.25" customHeight="1">
      <c r="B206" s="29"/>
      <c r="C206" s="14"/>
      <c r="E206" s="30"/>
      <c r="G206" s="30"/>
    </row>
    <row r="207" ht="14.25" customHeight="1">
      <c r="B207" s="29"/>
      <c r="C207" s="14"/>
      <c r="E207" s="30"/>
      <c r="G207" s="30"/>
    </row>
    <row r="208" ht="14.25" customHeight="1">
      <c r="B208" s="29"/>
      <c r="C208" s="14"/>
      <c r="E208" s="30"/>
      <c r="G208" s="30"/>
    </row>
    <row r="209" ht="14.25" customHeight="1">
      <c r="B209" s="29"/>
      <c r="C209" s="14"/>
      <c r="E209" s="30"/>
      <c r="G209" s="30"/>
    </row>
    <row r="210" ht="14.25" customHeight="1">
      <c r="B210" s="29"/>
      <c r="C210" s="14"/>
      <c r="E210" s="30"/>
      <c r="G210" s="30"/>
    </row>
    <row r="211" ht="14.25" customHeight="1">
      <c r="B211" s="29"/>
      <c r="C211" s="14"/>
      <c r="E211" s="30"/>
      <c r="G211" s="30"/>
    </row>
    <row r="212" ht="14.25" customHeight="1">
      <c r="B212" s="29"/>
      <c r="C212" s="14"/>
      <c r="E212" s="30"/>
      <c r="G212" s="30"/>
    </row>
    <row r="213" ht="14.25" customHeight="1">
      <c r="B213" s="29"/>
      <c r="C213" s="14"/>
      <c r="E213" s="30"/>
      <c r="G213" s="30"/>
    </row>
    <row r="214" ht="14.25" customHeight="1">
      <c r="B214" s="29"/>
      <c r="C214" s="14"/>
      <c r="E214" s="30"/>
      <c r="G214" s="30"/>
    </row>
    <row r="215" ht="14.25" customHeight="1">
      <c r="B215" s="29"/>
      <c r="C215" s="14"/>
      <c r="E215" s="30"/>
      <c r="G215" s="30"/>
    </row>
    <row r="216" ht="14.25" customHeight="1">
      <c r="B216" s="29"/>
      <c r="C216" s="14"/>
      <c r="E216" s="30"/>
      <c r="G216" s="30"/>
    </row>
    <row r="217" ht="14.25" customHeight="1">
      <c r="B217" s="29"/>
      <c r="C217" s="14"/>
      <c r="E217" s="30"/>
      <c r="G217" s="30"/>
    </row>
    <row r="218" ht="14.25" customHeight="1">
      <c r="B218" s="29"/>
      <c r="C218" s="14"/>
      <c r="E218" s="30"/>
      <c r="G218" s="30"/>
    </row>
    <row r="219" ht="14.25" customHeight="1">
      <c r="B219" s="29"/>
      <c r="C219" s="14"/>
      <c r="E219" s="30"/>
      <c r="G219" s="30"/>
    </row>
    <row r="220" ht="14.25" customHeight="1">
      <c r="B220" s="29"/>
      <c r="C220" s="14"/>
      <c r="E220" s="30"/>
      <c r="G220" s="30"/>
    </row>
    <row r="221" ht="15.75" customHeight="1">
      <c r="B221" s="14"/>
      <c r="C221" s="14"/>
    </row>
    <row r="222" ht="15.75" customHeight="1">
      <c r="B222" s="14"/>
      <c r="C222" s="14"/>
    </row>
    <row r="223" ht="15.75" customHeight="1">
      <c r="B223" s="14"/>
      <c r="C223" s="14"/>
    </row>
    <row r="224" ht="15.75" customHeight="1">
      <c r="B224" s="14"/>
      <c r="C224" s="14"/>
    </row>
    <row r="225" ht="15.75" customHeight="1">
      <c r="B225" s="14"/>
      <c r="C225" s="14"/>
    </row>
    <row r="226" ht="15.75" customHeight="1">
      <c r="B226" s="14"/>
      <c r="C226" s="14"/>
    </row>
    <row r="227" ht="15.75" customHeight="1">
      <c r="B227" s="14"/>
      <c r="C227" s="14"/>
    </row>
    <row r="228" ht="15.75" customHeight="1">
      <c r="B228" s="14"/>
      <c r="C228" s="14"/>
    </row>
    <row r="229" ht="15.75" customHeight="1">
      <c r="B229" s="14"/>
      <c r="C229" s="14"/>
    </row>
    <row r="230" ht="15.75" customHeight="1">
      <c r="B230" s="14"/>
      <c r="C230" s="14"/>
    </row>
    <row r="231" ht="15.75" customHeight="1">
      <c r="B231" s="14"/>
      <c r="C231" s="14"/>
    </row>
    <row r="232" ht="15.75" customHeight="1">
      <c r="B232" s="14"/>
      <c r="C232" s="14"/>
    </row>
    <row r="233" ht="15.75" customHeight="1">
      <c r="B233" s="14"/>
      <c r="C233" s="14"/>
    </row>
    <row r="234" ht="15.75" customHeight="1">
      <c r="B234" s="14"/>
      <c r="C234" s="14"/>
    </row>
    <row r="235" ht="15.75" customHeight="1">
      <c r="B235" s="14"/>
      <c r="C235" s="14"/>
    </row>
    <row r="236" ht="15.75" customHeight="1">
      <c r="B236" s="14"/>
      <c r="C236" s="14"/>
    </row>
    <row r="237" ht="15.75" customHeight="1">
      <c r="B237" s="14"/>
      <c r="C237" s="14"/>
    </row>
    <row r="238" ht="15.75" customHeight="1">
      <c r="B238" s="14"/>
      <c r="C238" s="14"/>
    </row>
    <row r="239" ht="15.75" customHeight="1">
      <c r="B239" s="14"/>
      <c r="C239" s="14"/>
    </row>
    <row r="240" ht="15.75" customHeight="1">
      <c r="B240" s="14"/>
      <c r="C240" s="14"/>
    </row>
    <row r="241" ht="15.75" customHeight="1">
      <c r="B241" s="14"/>
      <c r="C241" s="14"/>
    </row>
    <row r="242" ht="15.75" customHeight="1">
      <c r="B242" s="14"/>
      <c r="C242" s="14"/>
    </row>
    <row r="243" ht="15.75" customHeight="1">
      <c r="B243" s="14"/>
      <c r="C243" s="14"/>
    </row>
    <row r="244" ht="15.75" customHeight="1">
      <c r="B244" s="14"/>
      <c r="C244" s="14"/>
    </row>
    <row r="245" ht="15.75" customHeight="1">
      <c r="B245" s="14"/>
      <c r="C245" s="14"/>
    </row>
    <row r="246" ht="15.75" customHeight="1">
      <c r="B246" s="14"/>
      <c r="C246" s="14"/>
    </row>
    <row r="247" ht="15.75" customHeight="1">
      <c r="B247" s="14"/>
      <c r="C247" s="14"/>
    </row>
    <row r="248" ht="15.75" customHeight="1">
      <c r="B248" s="14"/>
      <c r="C248" s="14"/>
    </row>
    <row r="249" ht="15.75" customHeight="1">
      <c r="B249" s="14"/>
      <c r="C249" s="14"/>
    </row>
    <row r="250" ht="15.75" customHeight="1">
      <c r="B250" s="14"/>
      <c r="C250" s="14"/>
    </row>
    <row r="251" ht="15.75" customHeight="1">
      <c r="B251" s="14"/>
      <c r="C251" s="14"/>
    </row>
    <row r="252" ht="15.75" customHeight="1">
      <c r="B252" s="14"/>
      <c r="C252" s="14"/>
    </row>
    <row r="253" ht="15.75" customHeight="1">
      <c r="B253" s="14"/>
      <c r="C253" s="14"/>
    </row>
    <row r="254" ht="15.75" customHeight="1">
      <c r="B254" s="14"/>
      <c r="C254" s="14"/>
    </row>
    <row r="255" ht="15.75" customHeight="1">
      <c r="B255" s="14"/>
      <c r="C255" s="14"/>
    </row>
    <row r="256" ht="15.75" customHeight="1">
      <c r="B256" s="14"/>
      <c r="C256" s="14"/>
    </row>
    <row r="257" ht="15.75" customHeight="1">
      <c r="B257" s="14"/>
      <c r="C257" s="14"/>
    </row>
    <row r="258" ht="15.75" customHeight="1">
      <c r="B258" s="14"/>
      <c r="C258" s="14"/>
    </row>
    <row r="259" ht="15.75" customHeight="1">
      <c r="B259" s="14"/>
      <c r="C259" s="14"/>
    </row>
    <row r="260" ht="15.75" customHeight="1">
      <c r="B260" s="14"/>
      <c r="C260" s="14"/>
    </row>
    <row r="261" ht="15.75" customHeight="1">
      <c r="B261" s="14"/>
      <c r="C261" s="14"/>
    </row>
    <row r="262" ht="15.75" customHeight="1">
      <c r="B262" s="14"/>
      <c r="C262" s="14"/>
    </row>
    <row r="263" ht="15.75" customHeight="1">
      <c r="B263" s="14"/>
      <c r="C263" s="14"/>
    </row>
    <row r="264" ht="15.75" customHeight="1">
      <c r="B264" s="14"/>
      <c r="C264" s="14"/>
    </row>
    <row r="265" ht="15.75" customHeight="1">
      <c r="B265" s="14"/>
      <c r="C265" s="14"/>
    </row>
    <row r="266" ht="15.75" customHeight="1">
      <c r="B266" s="14"/>
      <c r="C266" s="14"/>
    </row>
    <row r="267" ht="15.75" customHeight="1">
      <c r="B267" s="14"/>
      <c r="C267" s="14"/>
    </row>
    <row r="268" ht="15.75" customHeight="1">
      <c r="B268" s="14"/>
      <c r="C268" s="14"/>
    </row>
    <row r="269" ht="15.75" customHeight="1">
      <c r="B269" s="14"/>
      <c r="C269" s="14"/>
    </row>
    <row r="270" ht="15.75" customHeight="1">
      <c r="B270" s="14"/>
      <c r="C270" s="14"/>
    </row>
    <row r="271" ht="15.75" customHeight="1">
      <c r="B271" s="14"/>
      <c r="C271" s="14"/>
    </row>
    <row r="272" ht="15.75" customHeight="1">
      <c r="B272" s="14"/>
      <c r="C272" s="14"/>
    </row>
    <row r="273" ht="15.75" customHeight="1">
      <c r="B273" s="14"/>
      <c r="C273" s="14"/>
    </row>
    <row r="274" ht="15.75" customHeight="1">
      <c r="B274" s="14"/>
      <c r="C274" s="14"/>
    </row>
    <row r="275" ht="15.75" customHeight="1">
      <c r="B275" s="14"/>
      <c r="C275" s="14"/>
    </row>
    <row r="276" ht="15.75" customHeight="1">
      <c r="B276" s="14"/>
      <c r="C276" s="14"/>
    </row>
    <row r="277" ht="15.75" customHeight="1">
      <c r="B277" s="14"/>
      <c r="C277" s="14"/>
    </row>
    <row r="278" ht="15.75" customHeight="1">
      <c r="B278" s="14"/>
      <c r="C278" s="14"/>
    </row>
    <row r="279" ht="15.75" customHeight="1">
      <c r="B279" s="14"/>
      <c r="C279" s="14"/>
    </row>
    <row r="280" ht="15.75" customHeight="1">
      <c r="B280" s="14"/>
      <c r="C280" s="14"/>
    </row>
    <row r="281" ht="15.75" customHeight="1">
      <c r="B281" s="14"/>
      <c r="C281" s="14"/>
    </row>
    <row r="282" ht="15.75" customHeight="1">
      <c r="B282" s="14"/>
      <c r="C282" s="14"/>
    </row>
    <row r="283" ht="15.75" customHeight="1">
      <c r="B283" s="14"/>
      <c r="C283" s="14"/>
    </row>
    <row r="284" ht="15.75" customHeight="1">
      <c r="B284" s="14"/>
      <c r="C284" s="14"/>
    </row>
    <row r="285" ht="15.75" customHeight="1">
      <c r="B285" s="14"/>
      <c r="C285" s="14"/>
    </row>
    <row r="286" ht="15.75" customHeight="1">
      <c r="B286" s="14"/>
      <c r="C286" s="14"/>
    </row>
    <row r="287" ht="15.75" customHeight="1">
      <c r="B287" s="14"/>
      <c r="C287" s="14"/>
    </row>
    <row r="288" ht="15.75" customHeight="1">
      <c r="B288" s="14"/>
      <c r="C288" s="14"/>
    </row>
    <row r="289" ht="15.75" customHeight="1">
      <c r="B289" s="14"/>
      <c r="C289" s="14"/>
    </row>
    <row r="290" ht="15.75" customHeight="1">
      <c r="B290" s="14"/>
      <c r="C290" s="14"/>
    </row>
    <row r="291" ht="15.75" customHeight="1">
      <c r="B291" s="14"/>
      <c r="C291" s="14"/>
    </row>
    <row r="292" ht="15.75" customHeight="1">
      <c r="B292" s="14"/>
      <c r="C292" s="14"/>
    </row>
    <row r="293" ht="15.75" customHeight="1">
      <c r="B293" s="14"/>
      <c r="C293" s="14"/>
    </row>
    <row r="294" ht="15.75" customHeight="1">
      <c r="B294" s="14"/>
      <c r="C294" s="14"/>
    </row>
    <row r="295" ht="15.75" customHeight="1">
      <c r="B295" s="14"/>
      <c r="C295" s="14"/>
    </row>
    <row r="296" ht="15.75" customHeight="1">
      <c r="B296" s="14"/>
      <c r="C296" s="14"/>
    </row>
    <row r="297" ht="15.75" customHeight="1">
      <c r="B297" s="14"/>
      <c r="C297" s="14"/>
    </row>
    <row r="298" ht="15.75" customHeight="1">
      <c r="B298" s="14"/>
      <c r="C298" s="14"/>
    </row>
    <row r="299" ht="15.75" customHeight="1">
      <c r="B299" s="14"/>
      <c r="C299" s="14"/>
    </row>
    <row r="300" ht="15.75" customHeight="1">
      <c r="B300" s="14"/>
      <c r="C300" s="14"/>
    </row>
    <row r="301" ht="15.75" customHeight="1">
      <c r="B301" s="14"/>
      <c r="C301" s="14"/>
    </row>
    <row r="302" ht="15.75" customHeight="1">
      <c r="B302" s="14"/>
      <c r="C302" s="14"/>
    </row>
    <row r="303" ht="15.75" customHeight="1">
      <c r="B303" s="14"/>
      <c r="C303" s="14"/>
    </row>
    <row r="304" ht="15.75" customHeight="1">
      <c r="B304" s="14"/>
      <c r="C304" s="14"/>
    </row>
    <row r="305" ht="15.75" customHeight="1">
      <c r="B305" s="14"/>
      <c r="C305" s="14"/>
    </row>
    <row r="306" ht="15.75" customHeight="1">
      <c r="B306" s="14"/>
      <c r="C306" s="14"/>
    </row>
    <row r="307" ht="15.75" customHeight="1">
      <c r="B307" s="14"/>
      <c r="C307" s="14"/>
    </row>
    <row r="308" ht="15.75" customHeight="1">
      <c r="B308" s="14"/>
      <c r="C308" s="14"/>
    </row>
    <row r="309" ht="15.75" customHeight="1">
      <c r="B309" s="14"/>
      <c r="C309" s="14"/>
    </row>
    <row r="310" ht="15.75" customHeight="1">
      <c r="B310" s="14"/>
      <c r="C310" s="14"/>
    </row>
    <row r="311" ht="15.75" customHeight="1">
      <c r="B311" s="14"/>
      <c r="C311" s="14"/>
    </row>
    <row r="312" ht="15.75" customHeight="1">
      <c r="B312" s="14"/>
      <c r="C312" s="14"/>
    </row>
    <row r="313" ht="15.75" customHeight="1">
      <c r="B313" s="14"/>
      <c r="C313" s="14"/>
    </row>
    <row r="314" ht="15.75" customHeight="1">
      <c r="B314" s="14"/>
      <c r="C314" s="14"/>
    </row>
    <row r="315" ht="15.75" customHeight="1">
      <c r="B315" s="14"/>
      <c r="C315" s="14"/>
    </row>
    <row r="316" ht="15.75" customHeight="1">
      <c r="B316" s="14"/>
      <c r="C316" s="14"/>
    </row>
    <row r="317" ht="15.75" customHeight="1">
      <c r="B317" s="14"/>
      <c r="C317" s="14"/>
    </row>
    <row r="318" ht="15.75" customHeight="1">
      <c r="B318" s="14"/>
      <c r="C318" s="14"/>
    </row>
    <row r="319" ht="15.75" customHeight="1">
      <c r="B319" s="14"/>
      <c r="C319" s="14"/>
    </row>
    <row r="320" ht="15.75" customHeight="1">
      <c r="B320" s="14"/>
      <c r="C320" s="14"/>
    </row>
    <row r="321" ht="15.75" customHeight="1">
      <c r="B321" s="14"/>
      <c r="C321" s="14"/>
    </row>
    <row r="322" ht="15.75" customHeight="1">
      <c r="B322" s="14"/>
      <c r="C322" s="14"/>
    </row>
    <row r="323" ht="15.75" customHeight="1">
      <c r="B323" s="14"/>
      <c r="C323" s="14"/>
    </row>
    <row r="324" ht="15.75" customHeight="1">
      <c r="B324" s="14"/>
      <c r="C324" s="14"/>
    </row>
    <row r="325" ht="15.75" customHeight="1">
      <c r="B325" s="14"/>
      <c r="C325" s="14"/>
    </row>
    <row r="326" ht="15.75" customHeight="1">
      <c r="B326" s="14"/>
      <c r="C326" s="14"/>
    </row>
    <row r="327" ht="15.75" customHeight="1">
      <c r="B327" s="14"/>
      <c r="C327" s="14"/>
    </row>
    <row r="328" ht="15.75" customHeight="1">
      <c r="B328" s="14"/>
      <c r="C328" s="14"/>
    </row>
    <row r="329" ht="15.75" customHeight="1">
      <c r="B329" s="14"/>
      <c r="C329" s="14"/>
    </row>
    <row r="330" ht="15.75" customHeight="1">
      <c r="B330" s="14"/>
      <c r="C330" s="14"/>
    </row>
    <row r="331" ht="15.75" customHeight="1">
      <c r="B331" s="14"/>
      <c r="C331" s="14"/>
    </row>
    <row r="332" ht="15.75" customHeight="1">
      <c r="B332" s="14"/>
      <c r="C332" s="14"/>
    </row>
    <row r="333" ht="15.75" customHeight="1">
      <c r="B333" s="14"/>
      <c r="C333" s="14"/>
    </row>
    <row r="334" ht="15.75" customHeight="1">
      <c r="B334" s="14"/>
      <c r="C334" s="14"/>
    </row>
    <row r="335" ht="15.75" customHeight="1">
      <c r="B335" s="14"/>
      <c r="C335" s="14"/>
    </row>
    <row r="336" ht="15.75" customHeight="1">
      <c r="B336" s="14"/>
      <c r="C336" s="14"/>
    </row>
    <row r="337" ht="15.75" customHeight="1">
      <c r="B337" s="14"/>
      <c r="C337" s="14"/>
    </row>
    <row r="338" ht="15.75" customHeight="1">
      <c r="B338" s="14"/>
      <c r="C338" s="14"/>
    </row>
    <row r="339" ht="15.75" customHeight="1">
      <c r="B339" s="14"/>
      <c r="C339" s="14"/>
    </row>
    <row r="340" ht="15.75" customHeight="1">
      <c r="B340" s="14"/>
      <c r="C340" s="14"/>
    </row>
    <row r="341" ht="15.75" customHeight="1">
      <c r="B341" s="14"/>
      <c r="C341" s="14"/>
    </row>
    <row r="342" ht="15.75" customHeight="1">
      <c r="B342" s="14"/>
      <c r="C342" s="14"/>
    </row>
    <row r="343" ht="15.75" customHeight="1">
      <c r="B343" s="14"/>
      <c r="C343" s="14"/>
    </row>
    <row r="344" ht="15.75" customHeight="1">
      <c r="B344" s="14"/>
      <c r="C344" s="14"/>
    </row>
    <row r="345" ht="15.75" customHeight="1">
      <c r="B345" s="14"/>
      <c r="C345" s="14"/>
    </row>
    <row r="346" ht="15.75" customHeight="1">
      <c r="B346" s="14"/>
      <c r="C346" s="14"/>
    </row>
    <row r="347" ht="15.75" customHeight="1">
      <c r="B347" s="14"/>
      <c r="C347" s="14"/>
    </row>
    <row r="348" ht="15.75" customHeight="1">
      <c r="B348" s="14"/>
      <c r="C348" s="14"/>
    </row>
    <row r="349" ht="15.75" customHeight="1">
      <c r="B349" s="14"/>
      <c r="C349" s="14"/>
    </row>
    <row r="350" ht="15.75" customHeight="1">
      <c r="B350" s="14"/>
      <c r="C350" s="14"/>
    </row>
    <row r="351" ht="15.75" customHeight="1">
      <c r="B351" s="14"/>
      <c r="C351" s="14"/>
    </row>
    <row r="352" ht="15.75" customHeight="1">
      <c r="B352" s="14"/>
      <c r="C352" s="14"/>
    </row>
    <row r="353" ht="15.75" customHeight="1">
      <c r="B353" s="14"/>
      <c r="C353" s="14"/>
    </row>
    <row r="354" ht="15.75" customHeight="1">
      <c r="B354" s="14"/>
      <c r="C354" s="14"/>
    </row>
    <row r="355" ht="15.75" customHeight="1">
      <c r="B355" s="14"/>
      <c r="C355" s="14"/>
    </row>
    <row r="356" ht="15.75" customHeight="1">
      <c r="B356" s="14"/>
      <c r="C356" s="14"/>
    </row>
    <row r="357" ht="15.75" customHeight="1">
      <c r="B357" s="14"/>
      <c r="C357" s="14"/>
    </row>
    <row r="358" ht="15.75" customHeight="1">
      <c r="B358" s="14"/>
      <c r="C358" s="14"/>
    </row>
    <row r="359" ht="15.75" customHeight="1">
      <c r="B359" s="14"/>
      <c r="C359" s="14"/>
    </row>
    <row r="360" ht="15.75" customHeight="1">
      <c r="B360" s="14"/>
      <c r="C360" s="14"/>
    </row>
    <row r="361" ht="15.75" customHeight="1">
      <c r="B361" s="14"/>
      <c r="C361" s="14"/>
    </row>
    <row r="362" ht="15.75" customHeight="1">
      <c r="B362" s="14"/>
      <c r="C362" s="14"/>
    </row>
    <row r="363" ht="15.75" customHeight="1">
      <c r="B363" s="14"/>
      <c r="C363" s="14"/>
    </row>
    <row r="364" ht="15.75" customHeight="1">
      <c r="B364" s="14"/>
      <c r="C364" s="14"/>
    </row>
    <row r="365" ht="15.75" customHeight="1">
      <c r="B365" s="14"/>
      <c r="C365" s="14"/>
    </row>
    <row r="366" ht="15.75" customHeight="1">
      <c r="B366" s="14"/>
      <c r="C366" s="14"/>
    </row>
    <row r="367" ht="15.75" customHeight="1">
      <c r="B367" s="14"/>
      <c r="C367" s="14"/>
    </row>
    <row r="368" ht="15.75" customHeight="1">
      <c r="B368" s="14"/>
      <c r="C368" s="14"/>
    </row>
    <row r="369" ht="15.75" customHeight="1">
      <c r="B369" s="14"/>
      <c r="C369" s="14"/>
    </row>
    <row r="370" ht="15.75" customHeight="1">
      <c r="B370" s="14"/>
      <c r="C370" s="14"/>
    </row>
    <row r="371" ht="15.75" customHeight="1">
      <c r="B371" s="14"/>
      <c r="C371" s="14"/>
    </row>
    <row r="372" ht="15.75" customHeight="1">
      <c r="B372" s="14"/>
      <c r="C372" s="14"/>
    </row>
    <row r="373" ht="15.75" customHeight="1">
      <c r="B373" s="14"/>
      <c r="C373" s="14"/>
    </row>
    <row r="374" ht="15.75" customHeight="1">
      <c r="B374" s="14"/>
      <c r="C374" s="14"/>
    </row>
    <row r="375" ht="15.75" customHeight="1">
      <c r="B375" s="14"/>
      <c r="C375" s="14"/>
    </row>
    <row r="376" ht="15.75" customHeight="1">
      <c r="B376" s="14"/>
      <c r="C376" s="14"/>
    </row>
    <row r="377" ht="15.75" customHeight="1">
      <c r="B377" s="14"/>
      <c r="C377" s="14"/>
    </row>
    <row r="378" ht="15.75" customHeight="1">
      <c r="B378" s="14"/>
      <c r="C378" s="14"/>
    </row>
    <row r="379" ht="15.75" customHeight="1">
      <c r="B379" s="14"/>
      <c r="C379" s="14"/>
    </row>
    <row r="380" ht="15.75" customHeight="1">
      <c r="B380" s="14"/>
      <c r="C380" s="14"/>
    </row>
    <row r="381" ht="15.75" customHeight="1">
      <c r="B381" s="14"/>
      <c r="C381" s="14"/>
    </row>
    <row r="382" ht="15.75" customHeight="1">
      <c r="B382" s="14"/>
      <c r="C382" s="14"/>
    </row>
    <row r="383" ht="15.75" customHeight="1">
      <c r="B383" s="14"/>
      <c r="C383" s="14"/>
    </row>
    <row r="384" ht="15.75" customHeight="1">
      <c r="B384" s="14"/>
      <c r="C384" s="14"/>
    </row>
    <row r="385" ht="15.75" customHeight="1">
      <c r="B385" s="14"/>
      <c r="C385" s="14"/>
    </row>
    <row r="386" ht="15.75" customHeight="1">
      <c r="B386" s="14"/>
      <c r="C386" s="14"/>
    </row>
    <row r="387" ht="15.75" customHeight="1">
      <c r="B387" s="14"/>
      <c r="C387" s="14"/>
    </row>
    <row r="388" ht="15.75" customHeight="1">
      <c r="B388" s="14"/>
      <c r="C388" s="14"/>
    </row>
    <row r="389" ht="15.75" customHeight="1">
      <c r="B389" s="14"/>
      <c r="C389" s="14"/>
    </row>
    <row r="390" ht="15.75" customHeight="1">
      <c r="B390" s="14"/>
      <c r="C390" s="14"/>
    </row>
    <row r="391" ht="15.75" customHeight="1">
      <c r="B391" s="14"/>
      <c r="C391" s="14"/>
    </row>
    <row r="392" ht="15.75" customHeight="1">
      <c r="B392" s="14"/>
      <c r="C392" s="14"/>
    </row>
    <row r="393" ht="15.75" customHeight="1">
      <c r="B393" s="14"/>
      <c r="C393" s="14"/>
    </row>
    <row r="394" ht="15.75" customHeight="1">
      <c r="B394" s="14"/>
      <c r="C394" s="14"/>
    </row>
    <row r="395" ht="15.75" customHeight="1">
      <c r="B395" s="14"/>
      <c r="C395" s="14"/>
    </row>
    <row r="396" ht="15.75" customHeight="1">
      <c r="B396" s="14"/>
      <c r="C396" s="14"/>
    </row>
    <row r="397" ht="15.75" customHeight="1">
      <c r="B397" s="14"/>
      <c r="C397" s="14"/>
    </row>
    <row r="398" ht="15.75" customHeight="1">
      <c r="B398" s="14"/>
      <c r="C398" s="14"/>
    </row>
    <row r="399" ht="15.75" customHeight="1">
      <c r="B399" s="14"/>
      <c r="C399" s="14"/>
    </row>
    <row r="400" ht="15.75" customHeight="1">
      <c r="B400" s="14"/>
      <c r="C400" s="14"/>
    </row>
    <row r="401" ht="15.75" customHeight="1">
      <c r="B401" s="14"/>
      <c r="C401" s="14"/>
    </row>
    <row r="402" ht="15.75" customHeight="1">
      <c r="B402" s="14"/>
      <c r="C402" s="14"/>
    </row>
    <row r="403" ht="15.75" customHeight="1">
      <c r="B403" s="14"/>
      <c r="C403" s="14"/>
    </row>
    <row r="404" ht="15.75" customHeight="1">
      <c r="B404" s="14"/>
      <c r="C404" s="14"/>
    </row>
    <row r="405" ht="15.75" customHeight="1">
      <c r="B405" s="14"/>
      <c r="C405" s="14"/>
    </row>
    <row r="406" ht="15.75" customHeight="1">
      <c r="B406" s="14"/>
      <c r="C406" s="14"/>
    </row>
    <row r="407" ht="15.75" customHeight="1">
      <c r="B407" s="14"/>
      <c r="C407" s="14"/>
    </row>
    <row r="408" ht="15.75" customHeight="1">
      <c r="B408" s="14"/>
      <c r="C408" s="14"/>
    </row>
    <row r="409" ht="15.75" customHeight="1">
      <c r="B409" s="14"/>
      <c r="C409" s="14"/>
    </row>
    <row r="410" ht="15.75" customHeight="1">
      <c r="B410" s="14"/>
      <c r="C410" s="14"/>
    </row>
    <row r="411" ht="15.75" customHeight="1">
      <c r="B411" s="14"/>
      <c r="C411" s="14"/>
    </row>
    <row r="412" ht="15.75" customHeight="1">
      <c r="B412" s="14"/>
      <c r="C412" s="14"/>
    </row>
    <row r="413" ht="15.75" customHeight="1">
      <c r="B413" s="14"/>
      <c r="C413" s="14"/>
    </row>
    <row r="414" ht="15.75" customHeight="1">
      <c r="B414" s="14"/>
      <c r="C414" s="14"/>
    </row>
    <row r="415" ht="15.75" customHeight="1">
      <c r="B415" s="14"/>
      <c r="C415" s="14"/>
    </row>
    <row r="416" ht="15.75" customHeight="1">
      <c r="B416" s="14"/>
      <c r="C416" s="14"/>
    </row>
    <row r="417" ht="15.75" customHeight="1">
      <c r="B417" s="14"/>
      <c r="C417" s="14"/>
    </row>
    <row r="418" ht="15.75" customHeight="1">
      <c r="B418" s="14"/>
      <c r="C418" s="14"/>
    </row>
    <row r="419" ht="15.75" customHeight="1">
      <c r="B419" s="14"/>
      <c r="C419" s="14"/>
    </row>
    <row r="420" ht="15.75" customHeight="1">
      <c r="B420" s="14"/>
      <c r="C420" s="14"/>
    </row>
    <row r="421" ht="15.75" customHeight="1">
      <c r="B421" s="14"/>
      <c r="C421" s="14"/>
    </row>
    <row r="422" ht="15.75" customHeight="1">
      <c r="B422" s="14"/>
      <c r="C422" s="14"/>
    </row>
    <row r="423" ht="15.75" customHeight="1">
      <c r="B423" s="14"/>
      <c r="C423" s="14"/>
    </row>
    <row r="424" ht="15.75" customHeight="1">
      <c r="B424" s="14"/>
      <c r="C424" s="14"/>
    </row>
    <row r="425" ht="15.75" customHeight="1">
      <c r="B425" s="14"/>
      <c r="C425" s="14"/>
    </row>
    <row r="426" ht="15.75" customHeight="1">
      <c r="B426" s="14"/>
      <c r="C426" s="14"/>
    </row>
    <row r="427" ht="15.75" customHeight="1">
      <c r="B427" s="14"/>
      <c r="C427" s="14"/>
    </row>
    <row r="428" ht="15.75" customHeight="1">
      <c r="B428" s="14"/>
      <c r="C428" s="14"/>
    </row>
    <row r="429" ht="15.75" customHeight="1">
      <c r="B429" s="14"/>
      <c r="C429" s="14"/>
    </row>
    <row r="430" ht="15.75" customHeight="1">
      <c r="B430" s="14"/>
      <c r="C430" s="14"/>
    </row>
    <row r="431" ht="15.75" customHeight="1">
      <c r="B431" s="14"/>
      <c r="C431" s="14"/>
    </row>
    <row r="432" ht="15.75" customHeight="1">
      <c r="B432" s="14"/>
      <c r="C432" s="14"/>
    </row>
    <row r="433" ht="15.75" customHeight="1">
      <c r="B433" s="14"/>
      <c r="C433" s="14"/>
    </row>
    <row r="434" ht="15.75" customHeight="1">
      <c r="B434" s="14"/>
      <c r="C434" s="14"/>
    </row>
    <row r="435" ht="15.75" customHeight="1">
      <c r="B435" s="14"/>
      <c r="C435" s="14"/>
    </row>
    <row r="436" ht="15.75" customHeight="1">
      <c r="B436" s="14"/>
      <c r="C436" s="14"/>
    </row>
    <row r="437" ht="15.75" customHeight="1">
      <c r="B437" s="14"/>
      <c r="C437" s="14"/>
    </row>
    <row r="438" ht="15.75" customHeight="1">
      <c r="B438" s="14"/>
      <c r="C438" s="14"/>
    </row>
    <row r="439" ht="15.75" customHeight="1">
      <c r="B439" s="14"/>
      <c r="C439" s="14"/>
    </row>
    <row r="440" ht="15.75" customHeight="1">
      <c r="B440" s="14"/>
      <c r="C440" s="14"/>
    </row>
    <row r="441" ht="15.75" customHeight="1">
      <c r="B441" s="14"/>
      <c r="C441" s="14"/>
    </row>
    <row r="442" ht="15.75" customHeight="1">
      <c r="B442" s="14"/>
      <c r="C442" s="14"/>
    </row>
    <row r="443" ht="15.75" customHeight="1">
      <c r="B443" s="14"/>
      <c r="C443" s="14"/>
    </row>
    <row r="444" ht="15.75" customHeight="1">
      <c r="B444" s="14"/>
      <c r="C444" s="14"/>
    </row>
    <row r="445" ht="15.75" customHeight="1">
      <c r="B445" s="14"/>
      <c r="C445" s="14"/>
    </row>
    <row r="446" ht="15.75" customHeight="1">
      <c r="B446" s="14"/>
      <c r="C446" s="14"/>
    </row>
    <row r="447" ht="15.75" customHeight="1">
      <c r="B447" s="14"/>
      <c r="C447" s="14"/>
    </row>
    <row r="448" ht="15.75" customHeight="1">
      <c r="B448" s="14"/>
      <c r="C448" s="14"/>
    </row>
    <row r="449" ht="15.75" customHeight="1">
      <c r="B449" s="14"/>
      <c r="C449" s="14"/>
    </row>
    <row r="450" ht="15.75" customHeight="1">
      <c r="B450" s="14"/>
      <c r="C450" s="14"/>
    </row>
    <row r="451" ht="15.75" customHeight="1">
      <c r="B451" s="14"/>
      <c r="C451" s="14"/>
    </row>
    <row r="452" ht="15.75" customHeight="1">
      <c r="B452" s="14"/>
      <c r="C452" s="14"/>
    </row>
    <row r="453" ht="15.75" customHeight="1">
      <c r="B453" s="14"/>
      <c r="C453" s="14"/>
    </row>
    <row r="454" ht="15.75" customHeight="1">
      <c r="B454" s="14"/>
      <c r="C454" s="14"/>
    </row>
    <row r="455" ht="15.75" customHeight="1">
      <c r="B455" s="14"/>
      <c r="C455" s="14"/>
    </row>
    <row r="456" ht="15.75" customHeight="1">
      <c r="B456" s="14"/>
      <c r="C456" s="14"/>
    </row>
    <row r="457" ht="15.75" customHeight="1">
      <c r="B457" s="14"/>
      <c r="C457" s="14"/>
    </row>
    <row r="458" ht="15.75" customHeight="1">
      <c r="B458" s="14"/>
      <c r="C458" s="14"/>
    </row>
    <row r="459" ht="15.75" customHeight="1">
      <c r="B459" s="14"/>
      <c r="C459" s="14"/>
    </row>
    <row r="460" ht="15.75" customHeight="1">
      <c r="B460" s="14"/>
      <c r="C460" s="14"/>
    </row>
    <row r="461" ht="15.75" customHeight="1">
      <c r="B461" s="14"/>
      <c r="C461" s="14"/>
    </row>
    <row r="462" ht="15.75" customHeight="1">
      <c r="B462" s="14"/>
      <c r="C462" s="14"/>
    </row>
    <row r="463" ht="15.75" customHeight="1">
      <c r="B463" s="14"/>
      <c r="C463" s="14"/>
    </row>
    <row r="464" ht="15.75" customHeight="1">
      <c r="B464" s="14"/>
      <c r="C464" s="14"/>
    </row>
    <row r="465" ht="15.75" customHeight="1">
      <c r="B465" s="14"/>
      <c r="C465" s="14"/>
    </row>
    <row r="466" ht="15.75" customHeight="1">
      <c r="B466" s="14"/>
      <c r="C466" s="14"/>
    </row>
    <row r="467" ht="15.75" customHeight="1">
      <c r="B467" s="14"/>
      <c r="C467" s="14"/>
    </row>
    <row r="468" ht="15.75" customHeight="1">
      <c r="B468" s="14"/>
      <c r="C468" s="14"/>
    </row>
    <row r="469" ht="15.75" customHeight="1">
      <c r="B469" s="14"/>
      <c r="C469" s="14"/>
    </row>
    <row r="470" ht="15.75" customHeight="1">
      <c r="B470" s="14"/>
      <c r="C470" s="14"/>
    </row>
    <row r="471" ht="15.75" customHeight="1">
      <c r="B471" s="14"/>
      <c r="C471" s="14"/>
    </row>
    <row r="472" ht="15.75" customHeight="1">
      <c r="B472" s="14"/>
      <c r="C472" s="14"/>
    </row>
    <row r="473" ht="15.75" customHeight="1">
      <c r="B473" s="14"/>
      <c r="C473" s="14"/>
    </row>
    <row r="474" ht="15.75" customHeight="1">
      <c r="B474" s="14"/>
      <c r="C474" s="14"/>
    </row>
    <row r="475" ht="15.75" customHeight="1">
      <c r="B475" s="14"/>
      <c r="C475" s="14"/>
    </row>
    <row r="476" ht="15.75" customHeight="1">
      <c r="B476" s="14"/>
      <c r="C476" s="14"/>
    </row>
    <row r="477" ht="15.75" customHeight="1">
      <c r="B477" s="14"/>
      <c r="C477" s="14"/>
    </row>
    <row r="478" ht="15.75" customHeight="1">
      <c r="B478" s="14"/>
      <c r="C478" s="14"/>
    </row>
    <row r="479" ht="15.75" customHeight="1">
      <c r="B479" s="14"/>
      <c r="C479" s="14"/>
    </row>
    <row r="480" ht="15.75" customHeight="1">
      <c r="B480" s="14"/>
      <c r="C480" s="14"/>
    </row>
    <row r="481" ht="15.75" customHeight="1">
      <c r="B481" s="14"/>
      <c r="C481" s="14"/>
    </row>
    <row r="482" ht="15.75" customHeight="1">
      <c r="B482" s="14"/>
      <c r="C482" s="14"/>
    </row>
    <row r="483" ht="15.75" customHeight="1">
      <c r="B483" s="14"/>
      <c r="C483" s="14"/>
    </row>
    <row r="484" ht="15.75" customHeight="1">
      <c r="B484" s="14"/>
      <c r="C484" s="14"/>
    </row>
    <row r="485" ht="15.75" customHeight="1">
      <c r="B485" s="14"/>
      <c r="C485" s="14"/>
    </row>
    <row r="486" ht="15.75" customHeight="1">
      <c r="B486" s="14"/>
      <c r="C486" s="14"/>
    </row>
    <row r="487" ht="15.75" customHeight="1">
      <c r="B487" s="14"/>
      <c r="C487" s="14"/>
    </row>
    <row r="488" ht="15.75" customHeight="1">
      <c r="B488" s="14"/>
      <c r="C488" s="14"/>
    </row>
    <row r="489" ht="15.75" customHeight="1">
      <c r="B489" s="14"/>
      <c r="C489" s="14"/>
    </row>
    <row r="490" ht="15.75" customHeight="1">
      <c r="B490" s="14"/>
      <c r="C490" s="14"/>
    </row>
    <row r="491" ht="15.75" customHeight="1">
      <c r="B491" s="14"/>
      <c r="C491" s="14"/>
    </row>
    <row r="492" ht="15.75" customHeight="1">
      <c r="B492" s="14"/>
      <c r="C492" s="14"/>
    </row>
    <row r="493" ht="15.75" customHeight="1">
      <c r="B493" s="14"/>
      <c r="C493" s="14"/>
    </row>
    <row r="494" ht="15.75" customHeight="1">
      <c r="B494" s="14"/>
      <c r="C494" s="14"/>
    </row>
    <row r="495" ht="15.75" customHeight="1">
      <c r="B495" s="14"/>
      <c r="C495" s="14"/>
    </row>
    <row r="496" ht="15.75" customHeight="1">
      <c r="B496" s="14"/>
      <c r="C496" s="14"/>
    </row>
    <row r="497" ht="15.75" customHeight="1">
      <c r="B497" s="14"/>
      <c r="C497" s="14"/>
    </row>
    <row r="498" ht="15.75" customHeight="1">
      <c r="B498" s="14"/>
      <c r="C498" s="14"/>
    </row>
    <row r="499" ht="15.75" customHeight="1">
      <c r="B499" s="14"/>
      <c r="C499" s="14"/>
    </row>
    <row r="500" ht="15.75" customHeight="1">
      <c r="B500" s="14"/>
      <c r="C500" s="14"/>
    </row>
    <row r="501" ht="15.75" customHeight="1">
      <c r="B501" s="14"/>
      <c r="C501" s="14"/>
    </row>
    <row r="502" ht="15.75" customHeight="1">
      <c r="B502" s="14"/>
      <c r="C502" s="14"/>
    </row>
    <row r="503" ht="15.75" customHeight="1">
      <c r="B503" s="14"/>
      <c r="C503" s="14"/>
    </row>
    <row r="504" ht="15.75" customHeight="1">
      <c r="B504" s="14"/>
      <c r="C504" s="14"/>
    </row>
    <row r="505" ht="15.75" customHeight="1">
      <c r="B505" s="14"/>
      <c r="C505" s="14"/>
    </row>
    <row r="506" ht="15.75" customHeight="1">
      <c r="B506" s="14"/>
      <c r="C506" s="14"/>
    </row>
    <row r="507" ht="15.75" customHeight="1">
      <c r="B507" s="14"/>
      <c r="C507" s="14"/>
    </row>
    <row r="508" ht="15.75" customHeight="1">
      <c r="B508" s="14"/>
      <c r="C508" s="14"/>
    </row>
    <row r="509" ht="15.75" customHeight="1">
      <c r="B509" s="14"/>
      <c r="C509" s="14"/>
    </row>
    <row r="510" ht="15.75" customHeight="1">
      <c r="B510" s="14"/>
      <c r="C510" s="14"/>
    </row>
    <row r="511" ht="15.75" customHeight="1">
      <c r="B511" s="14"/>
      <c r="C511" s="14"/>
    </row>
    <row r="512" ht="15.75" customHeight="1">
      <c r="B512" s="14"/>
      <c r="C512" s="14"/>
    </row>
    <row r="513" ht="15.75" customHeight="1">
      <c r="B513" s="14"/>
      <c r="C513" s="14"/>
    </row>
    <row r="514" ht="15.75" customHeight="1">
      <c r="B514" s="14"/>
      <c r="C514" s="14"/>
    </row>
    <row r="515" ht="15.75" customHeight="1">
      <c r="B515" s="14"/>
      <c r="C515" s="14"/>
    </row>
    <row r="516" ht="15.75" customHeight="1">
      <c r="B516" s="14"/>
      <c r="C516" s="14"/>
    </row>
    <row r="517" ht="15.75" customHeight="1">
      <c r="B517" s="14"/>
      <c r="C517" s="14"/>
    </row>
    <row r="518" ht="15.75" customHeight="1">
      <c r="B518" s="14"/>
      <c r="C518" s="14"/>
    </row>
    <row r="519" ht="15.75" customHeight="1">
      <c r="B519" s="14"/>
      <c r="C519" s="14"/>
    </row>
    <row r="520" ht="15.75" customHeight="1">
      <c r="B520" s="14"/>
      <c r="C520" s="14"/>
    </row>
    <row r="521" ht="15.75" customHeight="1">
      <c r="B521" s="14"/>
      <c r="C521" s="14"/>
    </row>
    <row r="522" ht="15.75" customHeight="1">
      <c r="B522" s="14"/>
      <c r="C522" s="14"/>
    </row>
    <row r="523" ht="15.75" customHeight="1">
      <c r="B523" s="14"/>
      <c r="C523" s="14"/>
    </row>
    <row r="524" ht="15.75" customHeight="1">
      <c r="B524" s="14"/>
      <c r="C524" s="14"/>
    </row>
    <row r="525" ht="15.75" customHeight="1">
      <c r="B525" s="14"/>
      <c r="C525" s="14"/>
    </row>
    <row r="526" ht="15.75" customHeight="1">
      <c r="B526" s="14"/>
      <c r="C526" s="14"/>
    </row>
    <row r="527" ht="15.75" customHeight="1">
      <c r="B527" s="14"/>
      <c r="C527" s="14"/>
    </row>
    <row r="528" ht="15.75" customHeight="1">
      <c r="B528" s="14"/>
      <c r="C528" s="14"/>
    </row>
    <row r="529" ht="15.75" customHeight="1">
      <c r="B529" s="14"/>
      <c r="C529" s="14"/>
    </row>
    <row r="530" ht="15.75" customHeight="1">
      <c r="B530" s="14"/>
      <c r="C530" s="14"/>
    </row>
    <row r="531" ht="15.75" customHeight="1">
      <c r="B531" s="14"/>
      <c r="C531" s="14"/>
    </row>
    <row r="532" ht="15.75" customHeight="1">
      <c r="B532" s="14"/>
      <c r="C532" s="14"/>
    </row>
    <row r="533" ht="15.75" customHeight="1">
      <c r="B533" s="14"/>
      <c r="C533" s="14"/>
    </row>
    <row r="534" ht="15.75" customHeight="1">
      <c r="B534" s="14"/>
      <c r="C534" s="14"/>
    </row>
    <row r="535" ht="15.75" customHeight="1">
      <c r="B535" s="14"/>
      <c r="C535" s="14"/>
    </row>
    <row r="536" ht="15.75" customHeight="1">
      <c r="B536" s="14"/>
      <c r="C536" s="14"/>
    </row>
    <row r="537" ht="15.75" customHeight="1">
      <c r="B537" s="14"/>
      <c r="C537" s="14"/>
    </row>
    <row r="538" ht="15.75" customHeight="1">
      <c r="B538" s="14"/>
      <c r="C538" s="14"/>
    </row>
    <row r="539" ht="15.75" customHeight="1">
      <c r="B539" s="14"/>
      <c r="C539" s="14"/>
    </row>
    <row r="540" ht="15.75" customHeight="1">
      <c r="B540" s="14"/>
      <c r="C540" s="14"/>
    </row>
    <row r="541" ht="15.75" customHeight="1">
      <c r="B541" s="14"/>
      <c r="C541" s="14"/>
    </row>
    <row r="542" ht="15.75" customHeight="1">
      <c r="B542" s="14"/>
      <c r="C542" s="14"/>
    </row>
    <row r="543" ht="15.75" customHeight="1">
      <c r="B543" s="14"/>
      <c r="C543" s="14"/>
    </row>
    <row r="544" ht="15.75" customHeight="1">
      <c r="B544" s="14"/>
      <c r="C544" s="14"/>
    </row>
    <row r="545" ht="15.75" customHeight="1">
      <c r="B545" s="14"/>
      <c r="C545" s="14"/>
    </row>
    <row r="546" ht="15.75" customHeight="1">
      <c r="B546" s="14"/>
      <c r="C546" s="14"/>
    </row>
    <row r="547" ht="15.75" customHeight="1">
      <c r="B547" s="14"/>
      <c r="C547" s="14"/>
    </row>
    <row r="548" ht="15.75" customHeight="1">
      <c r="B548" s="14"/>
      <c r="C548" s="14"/>
    </row>
    <row r="549" ht="15.75" customHeight="1">
      <c r="B549" s="14"/>
      <c r="C549" s="14"/>
    </row>
    <row r="550" ht="15.75" customHeight="1">
      <c r="B550" s="14"/>
      <c r="C550" s="14"/>
    </row>
    <row r="551" ht="15.75" customHeight="1">
      <c r="B551" s="14"/>
      <c r="C551" s="14"/>
    </row>
    <row r="552" ht="15.75" customHeight="1">
      <c r="B552" s="14"/>
      <c r="C552" s="14"/>
    </row>
    <row r="553" ht="15.75" customHeight="1">
      <c r="B553" s="14"/>
      <c r="C553" s="14"/>
    </row>
    <row r="554" ht="15.75" customHeight="1">
      <c r="B554" s="14"/>
      <c r="C554" s="14"/>
    </row>
    <row r="555" ht="15.75" customHeight="1">
      <c r="B555" s="14"/>
      <c r="C555" s="14"/>
    </row>
    <row r="556" ht="15.75" customHeight="1">
      <c r="B556" s="14"/>
      <c r="C556" s="14"/>
    </row>
    <row r="557" ht="15.75" customHeight="1">
      <c r="B557" s="14"/>
      <c r="C557" s="14"/>
    </row>
    <row r="558" ht="15.75" customHeight="1">
      <c r="B558" s="14"/>
      <c r="C558" s="14"/>
    </row>
    <row r="559" ht="15.75" customHeight="1">
      <c r="B559" s="14"/>
      <c r="C559" s="14"/>
    </row>
    <row r="560" ht="15.75" customHeight="1">
      <c r="B560" s="14"/>
      <c r="C560" s="14"/>
    </row>
    <row r="561" ht="15.75" customHeight="1">
      <c r="B561" s="14"/>
      <c r="C561" s="14"/>
    </row>
    <row r="562" ht="15.75" customHeight="1">
      <c r="B562" s="14"/>
      <c r="C562" s="14"/>
    </row>
    <row r="563" ht="15.75" customHeight="1">
      <c r="B563" s="14"/>
      <c r="C563" s="14"/>
    </row>
    <row r="564" ht="15.75" customHeight="1">
      <c r="B564" s="14"/>
      <c r="C564" s="14"/>
    </row>
    <row r="565" ht="15.75" customHeight="1">
      <c r="B565" s="14"/>
      <c r="C565" s="14"/>
    </row>
    <row r="566" ht="15.75" customHeight="1">
      <c r="B566" s="14"/>
      <c r="C566" s="14"/>
    </row>
    <row r="567" ht="15.75" customHeight="1">
      <c r="B567" s="14"/>
      <c r="C567" s="14"/>
    </row>
    <row r="568" ht="15.75" customHeight="1">
      <c r="B568" s="14"/>
      <c r="C568" s="14"/>
    </row>
    <row r="569" ht="15.75" customHeight="1">
      <c r="B569" s="14"/>
      <c r="C569" s="14"/>
    </row>
    <row r="570" ht="15.75" customHeight="1">
      <c r="B570" s="14"/>
      <c r="C570" s="14"/>
    </row>
    <row r="571" ht="15.75" customHeight="1">
      <c r="B571" s="14"/>
      <c r="C571" s="14"/>
    </row>
    <row r="572" ht="15.75" customHeight="1">
      <c r="B572" s="14"/>
      <c r="C572" s="14"/>
    </row>
    <row r="573" ht="15.75" customHeight="1">
      <c r="B573" s="14"/>
      <c r="C573" s="14"/>
    </row>
    <row r="574" ht="15.75" customHeight="1">
      <c r="B574" s="14"/>
      <c r="C574" s="14"/>
    </row>
    <row r="575" ht="15.75" customHeight="1">
      <c r="B575" s="14"/>
      <c r="C575" s="14"/>
    </row>
    <row r="576" ht="15.75" customHeight="1">
      <c r="B576" s="14"/>
      <c r="C576" s="14"/>
    </row>
    <row r="577" ht="15.75" customHeight="1">
      <c r="B577" s="14"/>
      <c r="C577" s="14"/>
    </row>
    <row r="578" ht="15.75" customHeight="1">
      <c r="B578" s="14"/>
      <c r="C578" s="14"/>
    </row>
    <row r="579" ht="15.75" customHeight="1">
      <c r="B579" s="14"/>
      <c r="C579" s="14"/>
    </row>
    <row r="580" ht="15.75" customHeight="1">
      <c r="B580" s="14"/>
      <c r="C580" s="14"/>
    </row>
    <row r="581" ht="15.75" customHeight="1">
      <c r="B581" s="14"/>
      <c r="C581" s="14"/>
    </row>
    <row r="582" ht="15.75" customHeight="1">
      <c r="B582" s="14"/>
      <c r="C582" s="14"/>
    </row>
    <row r="583" ht="15.75" customHeight="1">
      <c r="B583" s="14"/>
      <c r="C583" s="14"/>
    </row>
    <row r="584" ht="15.75" customHeight="1">
      <c r="B584" s="14"/>
      <c r="C584" s="14"/>
    </row>
    <row r="585" ht="15.75" customHeight="1">
      <c r="B585" s="14"/>
      <c r="C585" s="14"/>
    </row>
    <row r="586" ht="15.75" customHeight="1">
      <c r="B586" s="14"/>
      <c r="C586" s="14"/>
    </row>
    <row r="587" ht="15.75" customHeight="1">
      <c r="B587" s="14"/>
      <c r="C587" s="14"/>
    </row>
    <row r="588" ht="15.75" customHeight="1">
      <c r="B588" s="14"/>
      <c r="C588" s="14"/>
    </row>
    <row r="589" ht="15.75" customHeight="1">
      <c r="B589" s="14"/>
      <c r="C589" s="14"/>
    </row>
    <row r="590" ht="15.75" customHeight="1">
      <c r="B590" s="14"/>
      <c r="C590" s="14"/>
    </row>
    <row r="591" ht="15.75" customHeight="1">
      <c r="B591" s="14"/>
      <c r="C591" s="14"/>
    </row>
    <row r="592" ht="15.75" customHeight="1">
      <c r="B592" s="14"/>
      <c r="C592" s="14"/>
    </row>
    <row r="593" ht="15.75" customHeight="1">
      <c r="B593" s="14"/>
      <c r="C593" s="14"/>
    </row>
    <row r="594" ht="15.75" customHeight="1">
      <c r="B594" s="14"/>
      <c r="C594" s="14"/>
    </row>
    <row r="595" ht="15.75" customHeight="1">
      <c r="B595" s="14"/>
      <c r="C595" s="14"/>
    </row>
    <row r="596" ht="15.75" customHeight="1">
      <c r="B596" s="14"/>
      <c r="C596" s="14"/>
    </row>
    <row r="597" ht="15.75" customHeight="1">
      <c r="B597" s="14"/>
      <c r="C597" s="14"/>
    </row>
    <row r="598" ht="15.75" customHeight="1">
      <c r="B598" s="14"/>
      <c r="C598" s="14"/>
    </row>
    <row r="599" ht="15.75" customHeight="1">
      <c r="B599" s="14"/>
      <c r="C599" s="14"/>
    </row>
    <row r="600" ht="15.75" customHeight="1">
      <c r="B600" s="14"/>
      <c r="C600" s="14"/>
    </row>
    <row r="601" ht="15.75" customHeight="1">
      <c r="B601" s="14"/>
      <c r="C601" s="14"/>
    </row>
    <row r="602" ht="15.75" customHeight="1">
      <c r="B602" s="14"/>
      <c r="C602" s="14"/>
    </row>
    <row r="603" ht="15.75" customHeight="1">
      <c r="B603" s="14"/>
      <c r="C603" s="14"/>
    </row>
    <row r="604" ht="15.75" customHeight="1">
      <c r="B604" s="14"/>
      <c r="C604" s="14"/>
    </row>
    <row r="605" ht="15.75" customHeight="1">
      <c r="B605" s="14"/>
      <c r="C605" s="14"/>
    </row>
    <row r="606" ht="15.75" customHeight="1">
      <c r="B606" s="14"/>
      <c r="C606" s="14"/>
    </row>
    <row r="607" ht="15.75" customHeight="1">
      <c r="B607" s="14"/>
      <c r="C607" s="14"/>
    </row>
    <row r="608" ht="15.75" customHeight="1">
      <c r="B608" s="14"/>
      <c r="C608" s="14"/>
    </row>
    <row r="609" ht="15.75" customHeight="1">
      <c r="B609" s="14"/>
      <c r="C609" s="14"/>
    </row>
    <row r="610" ht="15.75" customHeight="1">
      <c r="B610" s="14"/>
      <c r="C610" s="14"/>
    </row>
    <row r="611" ht="15.75" customHeight="1">
      <c r="B611" s="14"/>
      <c r="C611" s="14"/>
    </row>
    <row r="612" ht="15.75" customHeight="1">
      <c r="B612" s="14"/>
      <c r="C612" s="14"/>
    </row>
    <row r="613" ht="15.75" customHeight="1">
      <c r="B613" s="14"/>
      <c r="C613" s="14"/>
    </row>
    <row r="614" ht="15.75" customHeight="1">
      <c r="B614" s="14"/>
      <c r="C614" s="14"/>
    </row>
    <row r="615" ht="15.75" customHeight="1">
      <c r="B615" s="14"/>
      <c r="C615" s="14"/>
    </row>
    <row r="616" ht="15.75" customHeight="1">
      <c r="B616" s="14"/>
      <c r="C616" s="14"/>
    </row>
    <row r="617" ht="15.75" customHeight="1">
      <c r="B617" s="14"/>
      <c r="C617" s="14"/>
    </row>
    <row r="618" ht="15.75" customHeight="1">
      <c r="B618" s="14"/>
      <c r="C618" s="14"/>
    </row>
    <row r="619" ht="15.75" customHeight="1">
      <c r="B619" s="14"/>
      <c r="C619" s="14"/>
    </row>
    <row r="620" ht="15.75" customHeight="1">
      <c r="B620" s="14"/>
      <c r="C620" s="14"/>
    </row>
    <row r="621" ht="15.75" customHeight="1">
      <c r="B621" s="14"/>
      <c r="C621" s="14"/>
    </row>
    <row r="622" ht="15.75" customHeight="1">
      <c r="B622" s="14"/>
      <c r="C622" s="14"/>
    </row>
    <row r="623" ht="15.75" customHeight="1">
      <c r="B623" s="14"/>
      <c r="C623" s="14"/>
    </row>
    <row r="624" ht="15.75" customHeight="1">
      <c r="B624" s="14"/>
      <c r="C624" s="14"/>
    </row>
    <row r="625" ht="15.75" customHeight="1">
      <c r="B625" s="14"/>
      <c r="C625" s="14"/>
    </row>
    <row r="626" ht="15.75" customHeight="1">
      <c r="B626" s="14"/>
      <c r="C626" s="14"/>
    </row>
    <row r="627" ht="15.75" customHeight="1">
      <c r="B627" s="14"/>
      <c r="C627" s="14"/>
    </row>
    <row r="628" ht="15.75" customHeight="1">
      <c r="B628" s="14"/>
      <c r="C628" s="14"/>
    </row>
    <row r="629" ht="15.75" customHeight="1">
      <c r="B629" s="14"/>
      <c r="C629" s="14"/>
    </row>
    <row r="630" ht="15.75" customHeight="1">
      <c r="B630" s="14"/>
      <c r="C630" s="14"/>
    </row>
    <row r="631" ht="15.75" customHeight="1">
      <c r="B631" s="14"/>
      <c r="C631" s="14"/>
    </row>
    <row r="632" ht="15.75" customHeight="1">
      <c r="B632" s="14"/>
      <c r="C632" s="14"/>
    </row>
    <row r="633" ht="15.75" customHeight="1">
      <c r="B633" s="14"/>
      <c r="C633" s="14"/>
    </row>
    <row r="634" ht="15.75" customHeight="1">
      <c r="B634" s="14"/>
      <c r="C634" s="14"/>
    </row>
    <row r="635" ht="15.75" customHeight="1">
      <c r="B635" s="14"/>
      <c r="C635" s="14"/>
    </row>
    <row r="636" ht="15.75" customHeight="1">
      <c r="B636" s="14"/>
      <c r="C636" s="14"/>
    </row>
    <row r="637" ht="15.75" customHeight="1">
      <c r="B637" s="14"/>
      <c r="C637" s="14"/>
    </row>
    <row r="638" ht="15.75" customHeight="1">
      <c r="B638" s="14"/>
      <c r="C638" s="14"/>
    </row>
    <row r="639" ht="15.75" customHeight="1">
      <c r="B639" s="14"/>
      <c r="C639" s="14"/>
    </row>
    <row r="640" ht="15.75" customHeight="1">
      <c r="B640" s="14"/>
      <c r="C640" s="14"/>
    </row>
    <row r="641" ht="15.75" customHeight="1">
      <c r="B641" s="14"/>
      <c r="C641" s="14"/>
    </row>
    <row r="642" ht="15.75" customHeight="1">
      <c r="B642" s="14"/>
      <c r="C642" s="14"/>
    </row>
    <row r="643" ht="15.75" customHeight="1">
      <c r="B643" s="14"/>
      <c r="C643" s="14"/>
    </row>
    <row r="644" ht="15.75" customHeight="1">
      <c r="B644" s="14"/>
      <c r="C644" s="14"/>
    </row>
    <row r="645" ht="15.75" customHeight="1">
      <c r="B645" s="14"/>
      <c r="C645" s="14"/>
    </row>
    <row r="646" ht="15.75" customHeight="1">
      <c r="B646" s="14"/>
      <c r="C646" s="14"/>
    </row>
    <row r="647" ht="15.75" customHeight="1">
      <c r="B647" s="14"/>
      <c r="C647" s="14"/>
    </row>
    <row r="648" ht="15.75" customHeight="1">
      <c r="B648" s="14"/>
      <c r="C648" s="14"/>
    </row>
    <row r="649" ht="15.75" customHeight="1">
      <c r="B649" s="14"/>
      <c r="C649" s="14"/>
    </row>
    <row r="650" ht="15.75" customHeight="1">
      <c r="B650" s="14"/>
      <c r="C650" s="14"/>
    </row>
    <row r="651" ht="15.75" customHeight="1">
      <c r="B651" s="14"/>
      <c r="C651" s="14"/>
    </row>
    <row r="652" ht="15.75" customHeight="1">
      <c r="B652" s="14"/>
      <c r="C652" s="14"/>
    </row>
    <row r="653" ht="15.75" customHeight="1">
      <c r="B653" s="14"/>
      <c r="C653" s="14"/>
    </row>
    <row r="654" ht="15.75" customHeight="1">
      <c r="B654" s="14"/>
      <c r="C654" s="14"/>
    </row>
    <row r="655" ht="15.75" customHeight="1">
      <c r="B655" s="14"/>
      <c r="C655" s="14"/>
    </row>
    <row r="656" ht="15.75" customHeight="1">
      <c r="B656" s="14"/>
      <c r="C656" s="14"/>
    </row>
    <row r="657" ht="15.75" customHeight="1">
      <c r="B657" s="14"/>
      <c r="C657" s="14"/>
    </row>
    <row r="658" ht="15.75" customHeight="1">
      <c r="B658" s="14"/>
      <c r="C658" s="14"/>
    </row>
    <row r="659" ht="15.75" customHeight="1">
      <c r="B659" s="14"/>
      <c r="C659" s="14"/>
    </row>
    <row r="660" ht="15.75" customHeight="1">
      <c r="B660" s="14"/>
      <c r="C660" s="14"/>
    </row>
    <row r="661" ht="15.75" customHeight="1">
      <c r="B661" s="14"/>
      <c r="C661" s="14"/>
    </row>
    <row r="662" ht="15.75" customHeight="1">
      <c r="B662" s="14"/>
      <c r="C662" s="14"/>
    </row>
    <row r="663" ht="15.75" customHeight="1">
      <c r="B663" s="14"/>
      <c r="C663" s="14"/>
    </row>
    <row r="664" ht="15.75" customHeight="1">
      <c r="B664" s="14"/>
      <c r="C664" s="14"/>
    </row>
    <row r="665" ht="15.75" customHeight="1">
      <c r="B665" s="14"/>
      <c r="C665" s="14"/>
    </row>
    <row r="666" ht="15.75" customHeight="1">
      <c r="B666" s="14"/>
      <c r="C666" s="14"/>
    </row>
    <row r="667" ht="15.75" customHeight="1">
      <c r="B667" s="14"/>
      <c r="C667" s="14"/>
    </row>
    <row r="668" ht="15.75" customHeight="1">
      <c r="B668" s="14"/>
      <c r="C668" s="14"/>
    </row>
    <row r="669" ht="15.75" customHeight="1">
      <c r="B669" s="14"/>
      <c r="C669" s="14"/>
    </row>
    <row r="670" ht="15.75" customHeight="1">
      <c r="B670" s="14"/>
      <c r="C670" s="14"/>
    </row>
    <row r="671" ht="15.75" customHeight="1">
      <c r="B671" s="14"/>
      <c r="C671" s="14"/>
    </row>
    <row r="672" ht="15.75" customHeight="1">
      <c r="B672" s="14"/>
      <c r="C672" s="14"/>
    </row>
    <row r="673" ht="15.75" customHeight="1">
      <c r="B673" s="14"/>
      <c r="C673" s="14"/>
    </row>
    <row r="674" ht="15.75" customHeight="1">
      <c r="B674" s="14"/>
      <c r="C674" s="14"/>
    </row>
    <row r="675" ht="15.75" customHeight="1">
      <c r="B675" s="14"/>
      <c r="C675" s="14"/>
    </row>
    <row r="676" ht="15.75" customHeight="1">
      <c r="B676" s="14"/>
      <c r="C676" s="14"/>
    </row>
    <row r="677" ht="15.75" customHeight="1">
      <c r="B677" s="14"/>
      <c r="C677" s="14"/>
    </row>
    <row r="678" ht="15.75" customHeight="1">
      <c r="B678" s="14"/>
      <c r="C678" s="14"/>
    </row>
    <row r="679" ht="15.75" customHeight="1">
      <c r="B679" s="14"/>
      <c r="C679" s="14"/>
    </row>
    <row r="680" ht="15.75" customHeight="1">
      <c r="B680" s="14"/>
      <c r="C680" s="14"/>
    </row>
    <row r="681" ht="15.75" customHeight="1">
      <c r="B681" s="14"/>
      <c r="C681" s="14"/>
    </row>
    <row r="682" ht="15.75" customHeight="1">
      <c r="B682" s="14"/>
      <c r="C682" s="14"/>
    </row>
    <row r="683" ht="15.75" customHeight="1">
      <c r="B683" s="14"/>
      <c r="C683" s="14"/>
    </row>
    <row r="684" ht="15.75" customHeight="1">
      <c r="B684" s="14"/>
      <c r="C684" s="14"/>
    </row>
    <row r="685" ht="15.75" customHeight="1">
      <c r="B685" s="14"/>
      <c r="C685" s="14"/>
    </row>
    <row r="686" ht="15.75" customHeight="1">
      <c r="B686" s="14"/>
      <c r="C686" s="14"/>
    </row>
    <row r="687" ht="15.75" customHeight="1">
      <c r="B687" s="14"/>
      <c r="C687" s="14"/>
    </row>
    <row r="688" ht="15.75" customHeight="1">
      <c r="B688" s="14"/>
      <c r="C688" s="14"/>
    </row>
    <row r="689" ht="15.75" customHeight="1">
      <c r="B689" s="14"/>
      <c r="C689" s="14"/>
    </row>
    <row r="690" ht="15.75" customHeight="1">
      <c r="B690" s="14"/>
      <c r="C690" s="14"/>
    </row>
    <row r="691" ht="15.75" customHeight="1">
      <c r="B691" s="14"/>
      <c r="C691" s="14"/>
    </row>
    <row r="692" ht="15.75" customHeight="1">
      <c r="B692" s="14"/>
      <c r="C692" s="14"/>
    </row>
    <row r="693" ht="15.75" customHeight="1">
      <c r="B693" s="14"/>
      <c r="C693" s="14"/>
    </row>
    <row r="694" ht="15.75" customHeight="1">
      <c r="B694" s="14"/>
      <c r="C694" s="14"/>
    </row>
    <row r="695" ht="15.75" customHeight="1">
      <c r="B695" s="14"/>
      <c r="C695" s="14"/>
    </row>
    <row r="696" ht="15.75" customHeight="1">
      <c r="B696" s="14"/>
      <c r="C696" s="14"/>
    </row>
    <row r="697" ht="15.75" customHeight="1">
      <c r="B697" s="14"/>
      <c r="C697" s="14"/>
    </row>
    <row r="698" ht="15.75" customHeight="1">
      <c r="B698" s="14"/>
      <c r="C698" s="14"/>
    </row>
    <row r="699" ht="15.75" customHeight="1">
      <c r="B699" s="14"/>
      <c r="C699" s="14"/>
    </row>
    <row r="700" ht="15.75" customHeight="1">
      <c r="B700" s="14"/>
      <c r="C700" s="14"/>
    </row>
    <row r="701" ht="15.75" customHeight="1">
      <c r="B701" s="14"/>
      <c r="C701" s="14"/>
    </row>
    <row r="702" ht="15.75" customHeight="1">
      <c r="B702" s="14"/>
      <c r="C702" s="14"/>
    </row>
    <row r="703" ht="15.75" customHeight="1">
      <c r="B703" s="14"/>
      <c r="C703" s="14"/>
    </row>
    <row r="704" ht="15.75" customHeight="1">
      <c r="B704" s="14"/>
      <c r="C704" s="14"/>
    </row>
    <row r="705" ht="15.75" customHeight="1">
      <c r="B705" s="14"/>
      <c r="C705" s="14"/>
    </row>
    <row r="706" ht="15.75" customHeight="1">
      <c r="B706" s="14"/>
      <c r="C706" s="14"/>
    </row>
    <row r="707" ht="15.75" customHeight="1">
      <c r="B707" s="14"/>
      <c r="C707" s="14"/>
    </row>
    <row r="708" ht="15.75" customHeight="1">
      <c r="B708" s="14"/>
      <c r="C708" s="14"/>
    </row>
    <row r="709" ht="15.75" customHeight="1">
      <c r="B709" s="14"/>
      <c r="C709" s="14"/>
    </row>
    <row r="710" ht="15.75" customHeight="1">
      <c r="B710" s="14"/>
      <c r="C710" s="14"/>
    </row>
    <row r="711" ht="15.75" customHeight="1">
      <c r="B711" s="14"/>
      <c r="C711" s="14"/>
    </row>
    <row r="712" ht="15.75" customHeight="1">
      <c r="B712" s="14"/>
      <c r="C712" s="14"/>
    </row>
    <row r="713" ht="15.75" customHeight="1">
      <c r="B713" s="14"/>
      <c r="C713" s="14"/>
    </row>
    <row r="714" ht="15.75" customHeight="1">
      <c r="B714" s="14"/>
      <c r="C714" s="14"/>
    </row>
    <row r="715" ht="15.75" customHeight="1">
      <c r="B715" s="14"/>
      <c r="C715" s="14"/>
    </row>
    <row r="716" ht="15.75" customHeight="1">
      <c r="B716" s="14"/>
      <c r="C716" s="14"/>
    </row>
    <row r="717" ht="15.75" customHeight="1">
      <c r="B717" s="14"/>
      <c r="C717" s="14"/>
    </row>
    <row r="718" ht="15.75" customHeight="1">
      <c r="B718" s="14"/>
      <c r="C718" s="14"/>
    </row>
    <row r="719" ht="15.75" customHeight="1">
      <c r="B719" s="14"/>
      <c r="C719" s="14"/>
    </row>
    <row r="720" ht="15.75" customHeight="1">
      <c r="B720" s="14"/>
      <c r="C720" s="14"/>
    </row>
    <row r="721" ht="15.75" customHeight="1">
      <c r="B721" s="14"/>
      <c r="C721" s="14"/>
    </row>
    <row r="722" ht="15.75" customHeight="1">
      <c r="B722" s="14"/>
      <c r="C722" s="14"/>
    </row>
    <row r="723" ht="15.75" customHeight="1">
      <c r="B723" s="14"/>
      <c r="C723" s="14"/>
    </row>
    <row r="724" ht="15.75" customHeight="1">
      <c r="B724" s="14"/>
      <c r="C724" s="14"/>
    </row>
    <row r="725" ht="15.75" customHeight="1">
      <c r="B725" s="14"/>
      <c r="C725" s="14"/>
    </row>
    <row r="726" ht="15.75" customHeight="1">
      <c r="B726" s="14"/>
      <c r="C726" s="14"/>
    </row>
    <row r="727" ht="15.75" customHeight="1">
      <c r="B727" s="14"/>
      <c r="C727" s="14"/>
    </row>
    <row r="728" ht="15.75" customHeight="1">
      <c r="B728" s="14"/>
      <c r="C728" s="14"/>
    </row>
    <row r="729" ht="15.75" customHeight="1">
      <c r="B729" s="14"/>
      <c r="C729" s="14"/>
    </row>
    <row r="730" ht="15.75" customHeight="1">
      <c r="B730" s="14"/>
      <c r="C730" s="14"/>
    </row>
    <row r="731" ht="15.75" customHeight="1">
      <c r="B731" s="14"/>
      <c r="C731" s="14"/>
    </row>
    <row r="732" ht="15.75" customHeight="1">
      <c r="B732" s="14"/>
      <c r="C732" s="14"/>
    </row>
    <row r="733" ht="15.75" customHeight="1">
      <c r="B733" s="14"/>
      <c r="C733" s="14"/>
    </row>
    <row r="734" ht="15.75" customHeight="1">
      <c r="B734" s="14"/>
      <c r="C734" s="14"/>
    </row>
    <row r="735" ht="15.75" customHeight="1">
      <c r="B735" s="14"/>
      <c r="C735" s="14"/>
    </row>
    <row r="736" ht="15.75" customHeight="1">
      <c r="B736" s="14"/>
      <c r="C736" s="14"/>
    </row>
    <row r="737" ht="15.75" customHeight="1">
      <c r="B737" s="14"/>
      <c r="C737" s="14"/>
    </row>
    <row r="738" ht="15.75" customHeight="1">
      <c r="B738" s="14"/>
      <c r="C738" s="14"/>
    </row>
    <row r="739" ht="15.75" customHeight="1">
      <c r="B739" s="14"/>
      <c r="C739" s="14"/>
    </row>
    <row r="740" ht="15.75" customHeight="1">
      <c r="B740" s="14"/>
      <c r="C740" s="14"/>
    </row>
    <row r="741" ht="15.75" customHeight="1">
      <c r="B741" s="14"/>
      <c r="C741" s="14"/>
    </row>
    <row r="742" ht="15.75" customHeight="1">
      <c r="B742" s="14"/>
      <c r="C742" s="14"/>
    </row>
    <row r="743" ht="15.75" customHeight="1">
      <c r="B743" s="14"/>
      <c r="C743" s="14"/>
    </row>
    <row r="744" ht="15.75" customHeight="1">
      <c r="B744" s="14"/>
      <c r="C744" s="14"/>
    </row>
    <row r="745" ht="15.75" customHeight="1">
      <c r="B745" s="14"/>
      <c r="C745" s="14"/>
    </row>
    <row r="746" ht="15.75" customHeight="1">
      <c r="B746" s="14"/>
      <c r="C746" s="14"/>
    </row>
    <row r="747" ht="15.75" customHeight="1">
      <c r="B747" s="14"/>
      <c r="C747" s="14"/>
    </row>
    <row r="748" ht="15.75" customHeight="1">
      <c r="B748" s="14"/>
      <c r="C748" s="14"/>
    </row>
    <row r="749" ht="15.75" customHeight="1">
      <c r="B749" s="14"/>
      <c r="C749" s="14"/>
    </row>
    <row r="750" ht="15.75" customHeight="1">
      <c r="B750" s="14"/>
      <c r="C750" s="14"/>
    </row>
    <row r="751" ht="15.75" customHeight="1">
      <c r="B751" s="14"/>
      <c r="C751" s="14"/>
    </row>
    <row r="752" ht="15.75" customHeight="1">
      <c r="B752" s="14"/>
      <c r="C752" s="14"/>
    </row>
    <row r="753" ht="15.75" customHeight="1">
      <c r="B753" s="14"/>
      <c r="C753" s="14"/>
    </row>
    <row r="754" ht="15.75" customHeight="1">
      <c r="B754" s="14"/>
      <c r="C754" s="14"/>
    </row>
    <row r="755" ht="15.75" customHeight="1">
      <c r="B755" s="14"/>
      <c r="C755" s="14"/>
    </row>
    <row r="756" ht="15.75" customHeight="1">
      <c r="B756" s="14"/>
      <c r="C756" s="14"/>
    </row>
    <row r="757" ht="15.75" customHeight="1">
      <c r="B757" s="14"/>
      <c r="C757" s="14"/>
    </row>
    <row r="758" ht="15.75" customHeight="1">
      <c r="B758" s="14"/>
      <c r="C758" s="14"/>
    </row>
    <row r="759" ht="15.75" customHeight="1">
      <c r="B759" s="14"/>
      <c r="C759" s="14"/>
    </row>
    <row r="760" ht="15.75" customHeight="1">
      <c r="B760" s="14"/>
      <c r="C760" s="14"/>
    </row>
    <row r="761" ht="15.75" customHeight="1">
      <c r="B761" s="14"/>
      <c r="C761" s="14"/>
    </row>
    <row r="762" ht="15.75" customHeight="1">
      <c r="B762" s="14"/>
      <c r="C762" s="14"/>
    </row>
    <row r="763" ht="15.75" customHeight="1">
      <c r="B763" s="14"/>
      <c r="C763" s="14"/>
    </row>
    <row r="764" ht="15.75" customHeight="1">
      <c r="B764" s="14"/>
      <c r="C764" s="14"/>
    </row>
    <row r="765" ht="15.75" customHeight="1">
      <c r="B765" s="14"/>
      <c r="C765" s="14"/>
    </row>
    <row r="766" ht="15.75" customHeight="1">
      <c r="B766" s="14"/>
      <c r="C766" s="14"/>
    </row>
    <row r="767" ht="15.75" customHeight="1">
      <c r="B767" s="14"/>
      <c r="C767" s="14"/>
    </row>
    <row r="768" ht="15.75" customHeight="1">
      <c r="B768" s="14"/>
      <c r="C768" s="14"/>
    </row>
    <row r="769" ht="15.75" customHeight="1">
      <c r="B769" s="14"/>
      <c r="C769" s="14"/>
    </row>
    <row r="770" ht="15.75" customHeight="1">
      <c r="B770" s="14"/>
      <c r="C770" s="14"/>
    </row>
    <row r="771" ht="15.75" customHeight="1">
      <c r="B771" s="14"/>
      <c r="C771" s="14"/>
    </row>
    <row r="772" ht="15.75" customHeight="1">
      <c r="B772" s="14"/>
      <c r="C772" s="14"/>
    </row>
    <row r="773" ht="15.75" customHeight="1">
      <c r="B773" s="14"/>
      <c r="C773" s="14"/>
    </row>
    <row r="774" ht="15.75" customHeight="1">
      <c r="B774" s="14"/>
      <c r="C774" s="14"/>
    </row>
    <row r="775" ht="15.75" customHeight="1">
      <c r="B775" s="14"/>
      <c r="C775" s="14"/>
    </row>
    <row r="776" ht="15.75" customHeight="1">
      <c r="B776" s="14"/>
      <c r="C776" s="14"/>
    </row>
    <row r="777" ht="15.75" customHeight="1">
      <c r="B777" s="14"/>
      <c r="C777" s="14"/>
    </row>
    <row r="778" ht="15.75" customHeight="1">
      <c r="B778" s="14"/>
      <c r="C778" s="14"/>
    </row>
    <row r="779" ht="15.75" customHeight="1">
      <c r="B779" s="14"/>
      <c r="C779" s="14"/>
    </row>
    <row r="780" ht="15.75" customHeight="1">
      <c r="B780" s="14"/>
      <c r="C780" s="14"/>
    </row>
    <row r="781" ht="15.75" customHeight="1">
      <c r="B781" s="14"/>
      <c r="C781" s="14"/>
    </row>
    <row r="782" ht="15.75" customHeight="1">
      <c r="B782" s="14"/>
      <c r="C782" s="14"/>
    </row>
    <row r="783" ht="15.75" customHeight="1">
      <c r="B783" s="14"/>
      <c r="C783" s="14"/>
    </row>
    <row r="784" ht="15.75" customHeight="1">
      <c r="B784" s="14"/>
      <c r="C784" s="14"/>
    </row>
    <row r="785" ht="15.75" customHeight="1">
      <c r="B785" s="14"/>
      <c r="C785" s="14"/>
    </row>
    <row r="786" ht="15.75" customHeight="1">
      <c r="B786" s="14"/>
      <c r="C786" s="14"/>
    </row>
    <row r="787" ht="15.75" customHeight="1">
      <c r="B787" s="14"/>
      <c r="C787" s="14"/>
    </row>
    <row r="788" ht="15.75" customHeight="1">
      <c r="B788" s="14"/>
      <c r="C788" s="14"/>
    </row>
    <row r="789" ht="15.75" customHeight="1">
      <c r="B789" s="14"/>
      <c r="C789" s="14"/>
    </row>
    <row r="790" ht="15.75" customHeight="1">
      <c r="B790" s="14"/>
      <c r="C790" s="14"/>
    </row>
    <row r="791" ht="15.75" customHeight="1">
      <c r="B791" s="14"/>
      <c r="C791" s="14"/>
    </row>
    <row r="792" ht="15.75" customHeight="1">
      <c r="B792" s="14"/>
      <c r="C792" s="14"/>
    </row>
    <row r="793" ht="15.75" customHeight="1">
      <c r="B793" s="14"/>
      <c r="C793" s="14"/>
    </row>
    <row r="794" ht="15.75" customHeight="1">
      <c r="B794" s="14"/>
      <c r="C794" s="14"/>
    </row>
    <row r="795" ht="15.75" customHeight="1">
      <c r="B795" s="14"/>
      <c r="C795" s="14"/>
    </row>
    <row r="796" ht="15.75" customHeight="1">
      <c r="B796" s="14"/>
      <c r="C796" s="14"/>
    </row>
    <row r="797" ht="15.75" customHeight="1">
      <c r="B797" s="14"/>
      <c r="C797" s="14"/>
    </row>
    <row r="798" ht="15.75" customHeight="1">
      <c r="B798" s="14"/>
      <c r="C798" s="14"/>
    </row>
    <row r="799" ht="15.75" customHeight="1">
      <c r="B799" s="14"/>
      <c r="C799" s="14"/>
    </row>
    <row r="800" ht="15.75" customHeight="1">
      <c r="B800" s="14"/>
      <c r="C800" s="14"/>
    </row>
    <row r="801" ht="15.75" customHeight="1">
      <c r="B801" s="14"/>
      <c r="C801" s="14"/>
    </row>
    <row r="802" ht="15.75" customHeight="1">
      <c r="B802" s="14"/>
      <c r="C802" s="14"/>
    </row>
    <row r="803" ht="15.75" customHeight="1">
      <c r="B803" s="14"/>
      <c r="C803" s="14"/>
    </row>
    <row r="804" ht="15.75" customHeight="1">
      <c r="B804" s="14"/>
      <c r="C804" s="14"/>
    </row>
    <row r="805" ht="15.75" customHeight="1">
      <c r="B805" s="14"/>
      <c r="C805" s="14"/>
    </row>
    <row r="806" ht="15.75" customHeight="1">
      <c r="B806" s="14"/>
      <c r="C806" s="14"/>
    </row>
    <row r="807" ht="15.75" customHeight="1">
      <c r="B807" s="14"/>
      <c r="C807" s="14"/>
    </row>
    <row r="808" ht="15.75" customHeight="1">
      <c r="B808" s="14"/>
      <c r="C808" s="14"/>
    </row>
    <row r="809" ht="15.75" customHeight="1">
      <c r="B809" s="14"/>
      <c r="C809" s="14"/>
    </row>
    <row r="810" ht="15.75" customHeight="1">
      <c r="B810" s="14"/>
      <c r="C810" s="14"/>
    </row>
    <row r="811" ht="15.75" customHeight="1">
      <c r="B811" s="14"/>
      <c r="C811" s="14"/>
    </row>
    <row r="812" ht="15.75" customHeight="1">
      <c r="B812" s="14"/>
      <c r="C812" s="14"/>
    </row>
    <row r="813" ht="15.75" customHeight="1">
      <c r="B813" s="14"/>
      <c r="C813" s="14"/>
    </row>
    <row r="814" ht="15.75" customHeight="1">
      <c r="B814" s="14"/>
      <c r="C814" s="14"/>
    </row>
    <row r="815" ht="15.75" customHeight="1">
      <c r="B815" s="14"/>
      <c r="C815" s="14"/>
    </row>
    <row r="816" ht="15.75" customHeight="1">
      <c r="B816" s="14"/>
      <c r="C816" s="14"/>
    </row>
    <row r="817" ht="15.75" customHeight="1">
      <c r="B817" s="14"/>
      <c r="C817" s="14"/>
    </row>
    <row r="818" ht="15.75" customHeight="1">
      <c r="B818" s="14"/>
      <c r="C818" s="14"/>
    </row>
    <row r="819" ht="15.75" customHeight="1">
      <c r="B819" s="14"/>
      <c r="C819" s="14"/>
    </row>
    <row r="820" ht="15.75" customHeight="1">
      <c r="B820" s="14"/>
      <c r="C820" s="14"/>
    </row>
    <row r="821" ht="15.75" customHeight="1">
      <c r="B821" s="14"/>
      <c r="C821" s="14"/>
    </row>
    <row r="822" ht="15.75" customHeight="1">
      <c r="B822" s="14"/>
      <c r="C822" s="14"/>
    </row>
    <row r="823" ht="15.75" customHeight="1">
      <c r="B823" s="14"/>
      <c r="C823" s="14"/>
    </row>
    <row r="824" ht="15.75" customHeight="1">
      <c r="B824" s="14"/>
      <c r="C824" s="14"/>
    </row>
    <row r="825" ht="15.75" customHeight="1">
      <c r="B825" s="14"/>
      <c r="C825" s="14"/>
    </row>
    <row r="826" ht="15.75" customHeight="1">
      <c r="B826" s="14"/>
      <c r="C826" s="14"/>
    </row>
    <row r="827" ht="15.75" customHeight="1">
      <c r="B827" s="14"/>
      <c r="C827" s="14"/>
    </row>
    <row r="828" ht="15.75" customHeight="1">
      <c r="B828" s="14"/>
      <c r="C828" s="14"/>
    </row>
    <row r="829" ht="15.75" customHeight="1">
      <c r="B829" s="14"/>
      <c r="C829" s="14"/>
    </row>
    <row r="830" ht="15.75" customHeight="1">
      <c r="B830" s="14"/>
      <c r="C830" s="14"/>
    </row>
    <row r="831" ht="15.75" customHeight="1">
      <c r="B831" s="14"/>
      <c r="C831" s="14"/>
    </row>
    <row r="832" ht="15.75" customHeight="1">
      <c r="B832" s="14"/>
      <c r="C832" s="14"/>
    </row>
    <row r="833" ht="15.75" customHeight="1">
      <c r="B833" s="14"/>
      <c r="C833" s="14"/>
    </row>
    <row r="834" ht="15.75" customHeight="1">
      <c r="B834" s="14"/>
      <c r="C834" s="14"/>
    </row>
    <row r="835" ht="15.75" customHeight="1">
      <c r="B835" s="14"/>
      <c r="C835" s="14"/>
    </row>
    <row r="836" ht="15.75" customHeight="1">
      <c r="B836" s="14"/>
      <c r="C836" s="14"/>
    </row>
    <row r="837" ht="15.75" customHeight="1">
      <c r="B837" s="14"/>
      <c r="C837" s="14"/>
    </row>
    <row r="838" ht="15.75" customHeight="1">
      <c r="B838" s="14"/>
      <c r="C838" s="14"/>
    </row>
    <row r="839" ht="15.75" customHeight="1">
      <c r="B839" s="14"/>
      <c r="C839" s="14"/>
    </row>
    <row r="840" ht="15.75" customHeight="1">
      <c r="B840" s="14"/>
      <c r="C840" s="14"/>
    </row>
    <row r="841" ht="15.75" customHeight="1">
      <c r="B841" s="14"/>
      <c r="C841" s="14"/>
    </row>
    <row r="842" ht="15.75" customHeight="1">
      <c r="B842" s="14"/>
      <c r="C842" s="14"/>
    </row>
    <row r="843" ht="15.75" customHeight="1">
      <c r="B843" s="14"/>
      <c r="C843" s="14"/>
    </row>
    <row r="844" ht="15.75" customHeight="1">
      <c r="B844" s="14"/>
      <c r="C844" s="14"/>
    </row>
    <row r="845" ht="15.75" customHeight="1">
      <c r="B845" s="14"/>
      <c r="C845" s="14"/>
    </row>
    <row r="846" ht="15.75" customHeight="1">
      <c r="B846" s="14"/>
      <c r="C846" s="14"/>
    </row>
    <row r="847" ht="15.75" customHeight="1">
      <c r="B847" s="14"/>
      <c r="C847" s="14"/>
    </row>
    <row r="848" ht="15.75" customHeight="1">
      <c r="B848" s="14"/>
      <c r="C848" s="14"/>
    </row>
    <row r="849" ht="15.75" customHeight="1">
      <c r="B849" s="14"/>
      <c r="C849" s="14"/>
    </row>
    <row r="850" ht="15.75" customHeight="1">
      <c r="B850" s="14"/>
      <c r="C850" s="14"/>
    </row>
    <row r="851" ht="15.75" customHeight="1">
      <c r="B851" s="14"/>
      <c r="C851" s="14"/>
    </row>
    <row r="852" ht="15.75" customHeight="1">
      <c r="B852" s="14"/>
      <c r="C852" s="14"/>
    </row>
    <row r="853" ht="15.75" customHeight="1">
      <c r="B853" s="14"/>
      <c r="C853" s="14"/>
    </row>
    <row r="854" ht="15.75" customHeight="1">
      <c r="B854" s="14"/>
      <c r="C854" s="14"/>
    </row>
    <row r="855" ht="15.75" customHeight="1">
      <c r="B855" s="14"/>
      <c r="C855" s="14"/>
    </row>
    <row r="856" ht="15.75" customHeight="1">
      <c r="B856" s="14"/>
      <c r="C856" s="14"/>
    </row>
    <row r="857" ht="15.75" customHeight="1">
      <c r="B857" s="14"/>
      <c r="C857" s="14"/>
    </row>
    <row r="858" ht="15.75" customHeight="1">
      <c r="B858" s="14"/>
      <c r="C858" s="14"/>
    </row>
    <row r="859" ht="15.75" customHeight="1">
      <c r="B859" s="14"/>
      <c r="C859" s="14"/>
    </row>
    <row r="860" ht="15.75" customHeight="1">
      <c r="B860" s="14"/>
      <c r="C860" s="14"/>
    </row>
    <row r="861" ht="15.75" customHeight="1">
      <c r="B861" s="14"/>
      <c r="C861" s="14"/>
    </row>
    <row r="862" ht="15.75" customHeight="1">
      <c r="B862" s="14"/>
      <c r="C862" s="14"/>
    </row>
    <row r="863" ht="15.75" customHeight="1">
      <c r="B863" s="14"/>
      <c r="C863" s="14"/>
    </row>
    <row r="864" ht="15.75" customHeight="1">
      <c r="B864" s="14"/>
      <c r="C864" s="14"/>
    </row>
    <row r="865" ht="15.75" customHeight="1">
      <c r="B865" s="14"/>
      <c r="C865" s="14"/>
    </row>
    <row r="866" ht="15.75" customHeight="1">
      <c r="B866" s="14"/>
      <c r="C866" s="14"/>
    </row>
    <row r="867" ht="15.75" customHeight="1">
      <c r="B867" s="14"/>
      <c r="C867" s="14"/>
    </row>
    <row r="868" ht="15.75" customHeight="1">
      <c r="B868" s="14"/>
      <c r="C868" s="14"/>
    </row>
    <row r="869" ht="15.75" customHeight="1">
      <c r="B869" s="14"/>
      <c r="C869" s="14"/>
    </row>
    <row r="870" ht="15.75" customHeight="1">
      <c r="B870" s="14"/>
      <c r="C870" s="14"/>
    </row>
    <row r="871" ht="15.75" customHeight="1">
      <c r="B871" s="14"/>
      <c r="C871" s="14"/>
    </row>
    <row r="872" ht="15.75" customHeight="1">
      <c r="B872" s="14"/>
      <c r="C872" s="14"/>
    </row>
    <row r="873" ht="15.75" customHeight="1">
      <c r="B873" s="14"/>
      <c r="C873" s="14"/>
    </row>
    <row r="874" ht="15.75" customHeight="1">
      <c r="B874" s="14"/>
      <c r="C874" s="14"/>
    </row>
    <row r="875" ht="15.75" customHeight="1">
      <c r="B875" s="14"/>
      <c r="C875" s="14"/>
    </row>
    <row r="876" ht="15.75" customHeight="1">
      <c r="B876" s="14"/>
      <c r="C876" s="14"/>
    </row>
    <row r="877" ht="15.75" customHeight="1">
      <c r="B877" s="14"/>
      <c r="C877" s="14"/>
    </row>
    <row r="878" ht="15.75" customHeight="1">
      <c r="B878" s="14"/>
      <c r="C878" s="14"/>
    </row>
    <row r="879" ht="15.75" customHeight="1">
      <c r="B879" s="14"/>
      <c r="C879" s="14"/>
    </row>
    <row r="880" ht="15.75" customHeight="1">
      <c r="B880" s="14"/>
      <c r="C880" s="14"/>
    </row>
    <row r="881" ht="15.75" customHeight="1">
      <c r="B881" s="14"/>
      <c r="C881" s="14"/>
    </row>
    <row r="882" ht="15.75" customHeight="1">
      <c r="B882" s="14"/>
      <c r="C882" s="14"/>
    </row>
    <row r="883" ht="15.75" customHeight="1">
      <c r="B883" s="14"/>
      <c r="C883" s="14"/>
    </row>
    <row r="884" ht="15.75" customHeight="1">
      <c r="B884" s="14"/>
      <c r="C884" s="14"/>
    </row>
    <row r="885" ht="15.75" customHeight="1">
      <c r="B885" s="14"/>
      <c r="C885" s="14"/>
    </row>
    <row r="886" ht="15.75" customHeight="1">
      <c r="B886" s="14"/>
      <c r="C886" s="14"/>
    </row>
    <row r="887" ht="15.75" customHeight="1">
      <c r="B887" s="14"/>
      <c r="C887" s="14"/>
    </row>
    <row r="888" ht="15.75" customHeight="1">
      <c r="B888" s="14"/>
      <c r="C888" s="14"/>
    </row>
    <row r="889" ht="15.75" customHeight="1">
      <c r="B889" s="14"/>
      <c r="C889" s="14"/>
    </row>
    <row r="890" ht="15.75" customHeight="1">
      <c r="B890" s="14"/>
      <c r="C890" s="14"/>
    </row>
    <row r="891" ht="15.75" customHeight="1">
      <c r="B891" s="14"/>
      <c r="C891" s="14"/>
    </row>
    <row r="892" ht="15.75" customHeight="1">
      <c r="B892" s="14"/>
      <c r="C892" s="14"/>
    </row>
    <row r="893" ht="15.75" customHeight="1">
      <c r="B893" s="14"/>
      <c r="C893" s="14"/>
    </row>
    <row r="894" ht="15.75" customHeight="1">
      <c r="B894" s="14"/>
      <c r="C894" s="14"/>
    </row>
    <row r="895" ht="15.75" customHeight="1">
      <c r="B895" s="14"/>
      <c r="C895" s="14"/>
    </row>
    <row r="896" ht="15.75" customHeight="1">
      <c r="B896" s="14"/>
      <c r="C896" s="14"/>
    </row>
    <row r="897" ht="15.75" customHeight="1">
      <c r="B897" s="14"/>
      <c r="C897" s="14"/>
    </row>
    <row r="898" ht="15.75" customHeight="1">
      <c r="B898" s="14"/>
      <c r="C898" s="14"/>
    </row>
    <row r="899" ht="15.75" customHeight="1">
      <c r="B899" s="14"/>
      <c r="C899" s="14"/>
    </row>
    <row r="900" ht="15.75" customHeight="1">
      <c r="B900" s="14"/>
      <c r="C900" s="14"/>
    </row>
    <row r="901" ht="15.75" customHeight="1">
      <c r="B901" s="14"/>
      <c r="C901" s="14"/>
    </row>
    <row r="902" ht="15.75" customHeight="1">
      <c r="B902" s="14"/>
      <c r="C902" s="14"/>
    </row>
    <row r="903" ht="15.75" customHeight="1">
      <c r="B903" s="14"/>
      <c r="C903" s="14"/>
    </row>
    <row r="904" ht="15.75" customHeight="1">
      <c r="B904" s="14"/>
      <c r="C904" s="14"/>
    </row>
    <row r="905" ht="15.75" customHeight="1">
      <c r="B905" s="14"/>
      <c r="C905" s="14"/>
    </row>
    <row r="906" ht="15.75" customHeight="1">
      <c r="B906" s="14"/>
      <c r="C906" s="14"/>
    </row>
    <row r="907" ht="15.75" customHeight="1">
      <c r="B907" s="14"/>
      <c r="C907" s="14"/>
    </row>
    <row r="908" ht="15.75" customHeight="1">
      <c r="B908" s="14"/>
      <c r="C908" s="14"/>
    </row>
    <row r="909" ht="15.75" customHeight="1">
      <c r="B909" s="14"/>
      <c r="C909" s="14"/>
    </row>
    <row r="910" ht="15.75" customHeight="1">
      <c r="B910" s="14"/>
      <c r="C910" s="14"/>
    </row>
    <row r="911" ht="15.75" customHeight="1">
      <c r="B911" s="14"/>
      <c r="C911" s="14"/>
    </row>
    <row r="912" ht="15.75" customHeight="1">
      <c r="B912" s="14"/>
      <c r="C912" s="14"/>
    </row>
    <row r="913" ht="15.75" customHeight="1">
      <c r="B913" s="14"/>
      <c r="C913" s="14"/>
    </row>
    <row r="914" ht="15.75" customHeight="1">
      <c r="B914" s="14"/>
      <c r="C914" s="14"/>
    </row>
    <row r="915" ht="15.75" customHeight="1">
      <c r="B915" s="14"/>
      <c r="C915" s="14"/>
    </row>
    <row r="916" ht="15.75" customHeight="1">
      <c r="B916" s="14"/>
      <c r="C916" s="14"/>
    </row>
    <row r="917" ht="15.75" customHeight="1">
      <c r="B917" s="14"/>
      <c r="C917" s="14"/>
    </row>
    <row r="918" ht="15.75" customHeight="1">
      <c r="B918" s="14"/>
      <c r="C918" s="14"/>
    </row>
    <row r="919" ht="15.75" customHeight="1">
      <c r="B919" s="14"/>
      <c r="C919" s="14"/>
    </row>
    <row r="920" ht="15.75" customHeight="1">
      <c r="B920" s="14"/>
      <c r="C920" s="14"/>
    </row>
    <row r="921" ht="15.75" customHeight="1">
      <c r="B921" s="14"/>
      <c r="C921" s="14"/>
    </row>
    <row r="922" ht="15.75" customHeight="1">
      <c r="B922" s="14"/>
      <c r="C922" s="14"/>
    </row>
    <row r="923" ht="15.75" customHeight="1">
      <c r="B923" s="14"/>
      <c r="C923" s="14"/>
    </row>
    <row r="924" ht="15.75" customHeight="1">
      <c r="B924" s="14"/>
      <c r="C924" s="14"/>
    </row>
    <row r="925" ht="15.75" customHeight="1">
      <c r="B925" s="14"/>
      <c r="C925" s="14"/>
    </row>
    <row r="926" ht="15.75" customHeight="1">
      <c r="B926" s="14"/>
      <c r="C926" s="14"/>
    </row>
    <row r="927" ht="15.75" customHeight="1">
      <c r="B927" s="14"/>
      <c r="C927" s="14"/>
    </row>
    <row r="928" ht="15.75" customHeight="1">
      <c r="B928" s="14"/>
      <c r="C928" s="14"/>
    </row>
    <row r="929" ht="15.75" customHeight="1">
      <c r="B929" s="14"/>
      <c r="C929" s="14"/>
    </row>
    <row r="930" ht="15.75" customHeight="1">
      <c r="B930" s="14"/>
      <c r="C930" s="14"/>
    </row>
    <row r="931" ht="15.75" customHeight="1">
      <c r="B931" s="14"/>
      <c r="C931" s="14"/>
    </row>
    <row r="932" ht="15.75" customHeight="1">
      <c r="B932" s="14"/>
      <c r="C932" s="14"/>
    </row>
    <row r="933" ht="15.75" customHeight="1">
      <c r="B933" s="14"/>
      <c r="C933" s="14"/>
    </row>
    <row r="934" ht="15.75" customHeight="1">
      <c r="B934" s="14"/>
      <c r="C934" s="14"/>
    </row>
    <row r="935" ht="15.75" customHeight="1">
      <c r="B935" s="14"/>
      <c r="C935" s="14"/>
    </row>
    <row r="936" ht="15.75" customHeight="1">
      <c r="B936" s="14"/>
      <c r="C936" s="14"/>
    </row>
    <row r="937" ht="15.75" customHeight="1">
      <c r="B937" s="14"/>
      <c r="C937" s="14"/>
    </row>
    <row r="938" ht="15.75" customHeight="1">
      <c r="B938" s="14"/>
      <c r="C938" s="14"/>
    </row>
    <row r="939" ht="15.75" customHeight="1">
      <c r="B939" s="14"/>
      <c r="C939" s="14"/>
    </row>
    <row r="940" ht="15.75" customHeight="1">
      <c r="B940" s="14"/>
      <c r="C940" s="14"/>
    </row>
    <row r="941" ht="15.75" customHeight="1">
      <c r="B941" s="14"/>
      <c r="C941" s="14"/>
    </row>
    <row r="942" ht="15.75" customHeight="1">
      <c r="B942" s="14"/>
      <c r="C942" s="14"/>
    </row>
    <row r="943" ht="15.75" customHeight="1">
      <c r="B943" s="14"/>
      <c r="C943" s="14"/>
    </row>
    <row r="944" ht="15.75" customHeight="1">
      <c r="B944" s="14"/>
      <c r="C944" s="14"/>
    </row>
    <row r="945" ht="15.75" customHeight="1">
      <c r="B945" s="14"/>
      <c r="C945" s="14"/>
    </row>
    <row r="946" ht="15.75" customHeight="1">
      <c r="B946" s="14"/>
      <c r="C946" s="14"/>
    </row>
    <row r="947" ht="15.75" customHeight="1">
      <c r="B947" s="14"/>
      <c r="C947" s="14"/>
    </row>
    <row r="948" ht="15.75" customHeight="1">
      <c r="B948" s="14"/>
      <c r="C948" s="14"/>
    </row>
    <row r="949" ht="15.75" customHeight="1">
      <c r="B949" s="14"/>
      <c r="C949" s="14"/>
    </row>
    <row r="950" ht="15.75" customHeight="1">
      <c r="B950" s="14"/>
      <c r="C950" s="14"/>
    </row>
    <row r="951" ht="15.75" customHeight="1">
      <c r="B951" s="14"/>
      <c r="C951" s="14"/>
    </row>
    <row r="952" ht="15.75" customHeight="1">
      <c r="B952" s="14"/>
      <c r="C952" s="14"/>
    </row>
    <row r="953" ht="15.75" customHeight="1">
      <c r="B953" s="14"/>
      <c r="C953" s="14"/>
    </row>
    <row r="954" ht="15.75" customHeight="1">
      <c r="B954" s="14"/>
      <c r="C954" s="14"/>
    </row>
    <row r="955" ht="15.75" customHeight="1">
      <c r="B955" s="14"/>
      <c r="C955" s="14"/>
    </row>
    <row r="956" ht="15.75" customHeight="1">
      <c r="B956" s="14"/>
      <c r="C956" s="14"/>
    </row>
    <row r="957" ht="15.75" customHeight="1">
      <c r="B957" s="14"/>
      <c r="C957" s="14"/>
    </row>
    <row r="958" ht="15.75" customHeight="1">
      <c r="B958" s="14"/>
      <c r="C958" s="14"/>
    </row>
    <row r="959" ht="15.75" customHeight="1">
      <c r="B959" s="14"/>
      <c r="C959" s="14"/>
    </row>
    <row r="960" ht="15.75" customHeight="1">
      <c r="B960" s="14"/>
      <c r="C960" s="14"/>
    </row>
    <row r="961" ht="15.75" customHeight="1">
      <c r="B961" s="14"/>
      <c r="C961" s="14"/>
    </row>
    <row r="962" ht="15.75" customHeight="1">
      <c r="B962" s="14"/>
      <c r="C962" s="14"/>
    </row>
    <row r="963" ht="15.75" customHeight="1">
      <c r="B963" s="14"/>
      <c r="C963" s="14"/>
    </row>
    <row r="964" ht="15.75" customHeight="1">
      <c r="B964" s="14"/>
      <c r="C964" s="14"/>
    </row>
    <row r="965" ht="15.75" customHeight="1">
      <c r="B965" s="14"/>
      <c r="C965" s="14"/>
    </row>
    <row r="966" ht="15.75" customHeight="1">
      <c r="B966" s="14"/>
      <c r="C966" s="14"/>
    </row>
    <row r="967" ht="15.75" customHeight="1">
      <c r="B967" s="14"/>
      <c r="C967" s="14"/>
    </row>
    <row r="968" ht="15.75" customHeight="1">
      <c r="B968" s="14"/>
      <c r="C968" s="14"/>
    </row>
    <row r="969" ht="15.75" customHeight="1">
      <c r="B969" s="14"/>
      <c r="C969" s="14"/>
    </row>
    <row r="970" ht="15.75" customHeight="1">
      <c r="B970" s="14"/>
      <c r="C970" s="14"/>
    </row>
    <row r="971" ht="15.75" customHeight="1">
      <c r="B971" s="14"/>
      <c r="C971" s="14"/>
    </row>
    <row r="972" ht="15.75" customHeight="1">
      <c r="B972" s="14"/>
      <c r="C972" s="14"/>
    </row>
    <row r="973" ht="15.75" customHeight="1">
      <c r="B973" s="14"/>
      <c r="C973" s="14"/>
    </row>
    <row r="974" ht="15.75" customHeight="1">
      <c r="B974" s="14"/>
      <c r="C974" s="14"/>
    </row>
    <row r="975" ht="15.75" customHeight="1">
      <c r="B975" s="14"/>
      <c r="C975" s="14"/>
    </row>
    <row r="976" ht="15.75" customHeight="1">
      <c r="B976" s="14"/>
      <c r="C976" s="14"/>
    </row>
    <row r="977" ht="15.75" customHeight="1">
      <c r="B977" s="14"/>
      <c r="C977" s="14"/>
    </row>
    <row r="978" ht="15.75" customHeight="1">
      <c r="B978" s="14"/>
      <c r="C978" s="14"/>
    </row>
    <row r="979" ht="15.75" customHeight="1">
      <c r="B979" s="14"/>
      <c r="C979" s="14"/>
    </row>
    <row r="980" ht="15.75" customHeight="1">
      <c r="B980" s="14"/>
      <c r="C980" s="14"/>
    </row>
    <row r="981" ht="15.75" customHeight="1">
      <c r="B981" s="14"/>
      <c r="C981" s="14"/>
    </row>
    <row r="982" ht="15.75" customHeight="1">
      <c r="B982" s="14"/>
      <c r="C982" s="14"/>
    </row>
    <row r="983" ht="15.75" customHeight="1">
      <c r="B983" s="14"/>
      <c r="C983" s="14"/>
    </row>
    <row r="984" ht="15.75" customHeight="1">
      <c r="B984" s="14"/>
      <c r="C984" s="14"/>
    </row>
    <row r="985" ht="15.75" customHeight="1">
      <c r="B985" s="14"/>
      <c r="C985" s="14"/>
    </row>
    <row r="986" ht="15.75" customHeight="1">
      <c r="B986" s="14"/>
      <c r="C986" s="14"/>
    </row>
    <row r="987" ht="15.75" customHeight="1">
      <c r="B987" s="14"/>
      <c r="C987" s="14"/>
    </row>
    <row r="988" ht="15.75" customHeight="1">
      <c r="B988" s="14"/>
      <c r="C988" s="14"/>
    </row>
    <row r="989" ht="15.75" customHeight="1">
      <c r="B989" s="14"/>
      <c r="C989" s="14"/>
    </row>
    <row r="990" ht="15.75" customHeight="1">
      <c r="B990" s="14"/>
      <c r="C990" s="14"/>
    </row>
    <row r="991" ht="15.75" customHeight="1">
      <c r="B991" s="14"/>
      <c r="C991" s="14"/>
    </row>
    <row r="992" ht="15.75" customHeight="1">
      <c r="B992" s="14"/>
      <c r="C992" s="14"/>
    </row>
    <row r="993" ht="15.75" customHeight="1">
      <c r="B993" s="14"/>
      <c r="C993" s="14"/>
    </row>
    <row r="994" ht="15.75" customHeight="1">
      <c r="B994" s="14"/>
      <c r="C994" s="14"/>
    </row>
    <row r="995" ht="15.75" customHeight="1">
      <c r="B995" s="14"/>
      <c r="C995" s="14"/>
    </row>
    <row r="996" ht="15.75" customHeight="1">
      <c r="B996" s="14"/>
      <c r="C996" s="14"/>
    </row>
    <row r="997" ht="15.75" customHeight="1">
      <c r="B997" s="14"/>
      <c r="C997" s="14"/>
    </row>
    <row r="998" ht="15.75" customHeight="1">
      <c r="B998" s="14"/>
      <c r="C998" s="14"/>
    </row>
    <row r="999" ht="15.75" customHeight="1">
      <c r="B999" s="14"/>
      <c r="C999" s="14"/>
    </row>
    <row r="1000" ht="15.75" customHeight="1">
      <c r="B1000" s="14"/>
      <c r="C1000" s="1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0.71"/>
    <col customWidth="1" min="2" max="2" width="18.71"/>
    <col customWidth="1" min="3" max="3" width="24.0"/>
    <col customWidth="1" min="4" max="4" width="19.57"/>
    <col customWidth="1" min="5" max="5" width="21.14"/>
    <col customWidth="1" min="6" max="6" width="17.57"/>
    <col customWidth="1" min="7" max="7" width="19.71"/>
  </cols>
  <sheetData>
    <row r="1"/>
    <row r="2"/>
    <row r="3"/>
    <row r="4"/>
    <row r="5"/>
    <row r="6"/>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8.0"/>
    <col customWidth="1" min="2" max="2" width="21.57"/>
    <col customWidth="1" min="3" max="3" width="17.71"/>
    <col customWidth="1" min="4" max="4" width="20.14"/>
    <col customWidth="1" min="6" max="6" width="18.29"/>
  </cols>
  <sheetData>
    <row r="1">
      <c r="E1" s="8"/>
    </row>
    <row r="2">
      <c r="E2" s="31" t="s">
        <v>473</v>
      </c>
    </row>
    <row r="3">
      <c r="E3" s="13">
        <f t="shared" ref="E3:E7" si="1">IFERROR( (C3 - B3) / B3 , 0 )
</f>
        <v>0</v>
      </c>
    </row>
    <row r="4">
      <c r="E4" s="13">
        <f t="shared" si="1"/>
        <v>0</v>
      </c>
    </row>
    <row r="5">
      <c r="E5" s="13">
        <f t="shared" si="1"/>
        <v>-1</v>
      </c>
    </row>
    <row r="6">
      <c r="E6" s="13">
        <f t="shared" si="1"/>
        <v>0</v>
      </c>
    </row>
    <row r="7">
      <c r="E7" s="13">
        <f t="shared" si="1"/>
        <v>2.449619682</v>
      </c>
    </row>
    <row r="8">
      <c r="B8" s="16"/>
      <c r="C8" s="16"/>
      <c r="D8" s="16"/>
      <c r="E8" s="13"/>
    </row>
    <row r="9">
      <c r="B9" s="16"/>
      <c r="C9" s="16"/>
      <c r="D9" s="16"/>
      <c r="E9" s="13"/>
    </row>
    <row r="10">
      <c r="B10" s="16"/>
      <c r="C10" s="16"/>
      <c r="D10" s="16"/>
      <c r="E10" s="13"/>
    </row>
    <row r="11">
      <c r="B11" s="16"/>
      <c r="C11" s="16"/>
      <c r="D11" s="16"/>
      <c r="E11" s="13"/>
    </row>
    <row r="12">
      <c r="B12" s="16"/>
      <c r="C12" s="16"/>
      <c r="D12" s="16"/>
      <c r="E12" s="13"/>
    </row>
    <row r="13">
      <c r="B13" s="16"/>
      <c r="C13" s="16"/>
      <c r="D13" s="16"/>
      <c r="E13" s="13"/>
    </row>
    <row r="14">
      <c r="B14" s="16"/>
      <c r="C14" s="16"/>
      <c r="D14" s="16"/>
      <c r="E14" s="13"/>
    </row>
    <row r="15">
      <c r="B15" s="16"/>
      <c r="C15" s="16"/>
      <c r="D15" s="16"/>
      <c r="E15" s="13"/>
    </row>
    <row r="16">
      <c r="B16" s="16"/>
      <c r="C16" s="16"/>
      <c r="D16" s="16"/>
      <c r="E16" s="13"/>
    </row>
    <row r="17">
      <c r="B17" s="16"/>
      <c r="C17" s="16"/>
      <c r="D17" s="16"/>
      <c r="E17" s="13"/>
    </row>
    <row r="18">
      <c r="B18" s="16"/>
      <c r="C18" s="16"/>
      <c r="D18" s="16"/>
      <c r="E18" s="13"/>
    </row>
    <row r="19">
      <c r="B19" s="16"/>
      <c r="C19" s="16"/>
      <c r="D19" s="16"/>
      <c r="E19" s="13"/>
    </row>
    <row r="20">
      <c r="B20" s="16"/>
      <c r="C20" s="16"/>
      <c r="D20" s="16"/>
      <c r="E20" s="13"/>
    </row>
    <row r="21">
      <c r="B21" s="16"/>
      <c r="C21" s="16"/>
      <c r="D21" s="16"/>
      <c r="E21" s="13"/>
    </row>
    <row r="22">
      <c r="B22" s="16"/>
      <c r="C22" s="16"/>
      <c r="D22" s="16"/>
      <c r="E22" s="13"/>
    </row>
    <row r="23">
      <c r="B23" s="16"/>
      <c r="C23" s="16"/>
      <c r="D23" s="16"/>
      <c r="E23" s="13"/>
    </row>
    <row r="24">
      <c r="B24" s="16"/>
      <c r="C24" s="16"/>
      <c r="D24" s="16"/>
      <c r="E24" s="13"/>
    </row>
    <row r="25">
      <c r="B25" s="16"/>
      <c r="C25" s="16"/>
      <c r="D25" s="16"/>
      <c r="E25" s="13"/>
    </row>
    <row r="26">
      <c r="B26" s="16"/>
      <c r="C26" s="16"/>
      <c r="D26" s="16"/>
      <c r="E26" s="13"/>
    </row>
    <row r="27">
      <c r="B27" s="16"/>
      <c r="C27" s="16"/>
      <c r="D27" s="16"/>
      <c r="E27" s="13"/>
    </row>
    <row r="28">
      <c r="B28" s="16"/>
      <c r="C28" s="16"/>
      <c r="D28" s="16"/>
      <c r="E28" s="13"/>
    </row>
    <row r="29">
      <c r="B29" s="16"/>
      <c r="C29" s="16"/>
      <c r="D29" s="16"/>
      <c r="E29" s="13"/>
    </row>
    <row r="30">
      <c r="B30" s="16"/>
      <c r="C30" s="16"/>
      <c r="D30" s="16"/>
      <c r="E30" s="13"/>
    </row>
    <row r="31">
      <c r="B31" s="16"/>
      <c r="C31" s="16"/>
      <c r="D31" s="16"/>
      <c r="E31" s="13"/>
    </row>
    <row r="32">
      <c r="B32" s="16"/>
      <c r="C32" s="16"/>
      <c r="D32" s="16"/>
      <c r="E32" s="13"/>
    </row>
    <row r="33">
      <c r="B33" s="16"/>
      <c r="C33" s="16"/>
      <c r="D33" s="16"/>
      <c r="E33" s="13"/>
    </row>
    <row r="34">
      <c r="B34" s="16"/>
      <c r="C34" s="16"/>
      <c r="D34" s="16"/>
      <c r="E34" s="13"/>
    </row>
    <row r="35">
      <c r="B35" s="16"/>
      <c r="C35" s="16"/>
      <c r="D35" s="16"/>
      <c r="E35" s="13"/>
    </row>
    <row r="36">
      <c r="B36" s="16"/>
      <c r="C36" s="16"/>
      <c r="D36" s="16"/>
      <c r="E36" s="13"/>
    </row>
    <row r="37">
      <c r="B37" s="16"/>
      <c r="C37" s="16"/>
      <c r="D37" s="16"/>
      <c r="E37" s="13"/>
    </row>
    <row r="38">
      <c r="B38" s="16"/>
      <c r="C38" s="16"/>
      <c r="D38" s="16"/>
      <c r="E38" s="13"/>
    </row>
    <row r="39">
      <c r="B39" s="16"/>
      <c r="C39" s="16"/>
      <c r="D39" s="16"/>
      <c r="E39" s="13"/>
    </row>
    <row r="40">
      <c r="B40" s="16"/>
      <c r="C40" s="16"/>
      <c r="D40" s="16"/>
      <c r="E40" s="13"/>
    </row>
    <row r="41">
      <c r="B41" s="16"/>
      <c r="C41" s="16"/>
      <c r="D41" s="16"/>
      <c r="E41" s="13"/>
    </row>
    <row r="42">
      <c r="B42" s="16"/>
      <c r="C42" s="16"/>
      <c r="D42" s="16"/>
      <c r="E42" s="13"/>
    </row>
    <row r="43">
      <c r="B43" s="16"/>
      <c r="C43" s="16"/>
      <c r="D43" s="16"/>
      <c r="E43" s="13"/>
    </row>
    <row r="44">
      <c r="B44" s="16"/>
      <c r="C44" s="16"/>
      <c r="D44" s="16"/>
      <c r="E44" s="13"/>
    </row>
    <row r="45">
      <c r="B45" s="16"/>
      <c r="C45" s="16"/>
      <c r="D45" s="16"/>
      <c r="E45" s="13"/>
    </row>
    <row r="46">
      <c r="B46" s="16"/>
      <c r="C46" s="16"/>
      <c r="D46" s="16"/>
      <c r="E46" s="13"/>
    </row>
    <row r="47">
      <c r="B47" s="16"/>
      <c r="C47" s="16"/>
      <c r="D47" s="16"/>
      <c r="E47" s="13"/>
    </row>
    <row r="48">
      <c r="B48" s="16"/>
      <c r="C48" s="16"/>
      <c r="D48" s="16"/>
      <c r="E48" s="13"/>
    </row>
    <row r="49">
      <c r="B49" s="16"/>
      <c r="C49" s="16"/>
      <c r="D49" s="16"/>
      <c r="E49" s="13"/>
    </row>
    <row r="50">
      <c r="B50" s="16"/>
      <c r="C50" s="16"/>
      <c r="D50" s="16"/>
      <c r="E50" s="13"/>
    </row>
    <row r="51">
      <c r="B51" s="16"/>
      <c r="C51" s="16"/>
      <c r="D51" s="16"/>
      <c r="E51" s="13"/>
    </row>
    <row r="52">
      <c r="B52" s="16"/>
      <c r="C52" s="16"/>
      <c r="D52" s="16"/>
      <c r="E52" s="13"/>
    </row>
    <row r="53">
      <c r="B53" s="16"/>
      <c r="C53" s="16"/>
      <c r="D53" s="16"/>
      <c r="E53" s="13"/>
    </row>
    <row r="54">
      <c r="B54" s="16"/>
      <c r="C54" s="16"/>
      <c r="D54" s="16"/>
      <c r="E54" s="13"/>
    </row>
    <row r="55">
      <c r="B55" s="16"/>
      <c r="C55" s="16"/>
      <c r="D55" s="16"/>
      <c r="E55" s="13"/>
    </row>
    <row r="56">
      <c r="B56" s="16"/>
      <c r="C56" s="16"/>
      <c r="D56" s="16"/>
      <c r="E56" s="13"/>
    </row>
    <row r="57">
      <c r="B57" s="16"/>
      <c r="C57" s="16"/>
      <c r="D57" s="16"/>
      <c r="E57" s="13"/>
    </row>
    <row r="58">
      <c r="B58" s="16"/>
      <c r="C58" s="16"/>
      <c r="D58" s="16"/>
      <c r="E58" s="13"/>
    </row>
    <row r="59">
      <c r="B59" s="16"/>
      <c r="C59" s="16"/>
      <c r="D59" s="16"/>
      <c r="E59" s="13"/>
    </row>
    <row r="60">
      <c r="B60" s="16"/>
      <c r="C60" s="16"/>
      <c r="D60" s="16"/>
      <c r="E60" s="13"/>
    </row>
    <row r="61">
      <c r="B61" s="16"/>
      <c r="C61" s="16"/>
      <c r="D61" s="16"/>
      <c r="E61" s="13"/>
    </row>
    <row r="62">
      <c r="B62" s="16"/>
      <c r="C62" s="16"/>
      <c r="D62" s="16"/>
      <c r="E62" s="13"/>
    </row>
    <row r="63">
      <c r="B63" s="16"/>
      <c r="C63" s="16"/>
      <c r="D63" s="16"/>
      <c r="E63" s="13"/>
    </row>
    <row r="64">
      <c r="B64" s="16"/>
      <c r="C64" s="16"/>
      <c r="D64" s="16"/>
      <c r="E64" s="13"/>
    </row>
    <row r="65">
      <c r="B65" s="16"/>
      <c r="C65" s="16"/>
      <c r="D65" s="16"/>
      <c r="E65" s="13"/>
    </row>
    <row r="66">
      <c r="B66" s="16"/>
      <c r="C66" s="16"/>
      <c r="D66" s="16"/>
      <c r="E66" s="13"/>
    </row>
    <row r="67">
      <c r="B67" s="16"/>
      <c r="C67" s="16"/>
      <c r="D67" s="16"/>
      <c r="E67" s="13"/>
    </row>
    <row r="68">
      <c r="B68" s="16"/>
      <c r="C68" s="16"/>
      <c r="D68" s="16"/>
      <c r="E68" s="13"/>
    </row>
    <row r="69">
      <c r="B69" s="16"/>
      <c r="C69" s="16"/>
      <c r="D69" s="16"/>
      <c r="E69" s="13"/>
    </row>
    <row r="70">
      <c r="B70" s="16"/>
      <c r="C70" s="16"/>
      <c r="D70" s="16"/>
      <c r="E70" s="13"/>
    </row>
    <row r="71">
      <c r="B71" s="16"/>
      <c r="C71" s="16"/>
      <c r="D71" s="16"/>
      <c r="E71" s="13"/>
    </row>
    <row r="72">
      <c r="B72" s="16"/>
      <c r="C72" s="16"/>
      <c r="D72" s="16"/>
      <c r="E72" s="13"/>
    </row>
    <row r="73">
      <c r="B73" s="16"/>
      <c r="C73" s="16"/>
      <c r="D73" s="16"/>
      <c r="E73" s="13"/>
    </row>
    <row r="74">
      <c r="B74" s="16"/>
      <c r="C74" s="16"/>
      <c r="D74" s="16"/>
      <c r="E74" s="13"/>
    </row>
    <row r="75">
      <c r="B75" s="16"/>
      <c r="C75" s="16"/>
      <c r="D75" s="16"/>
      <c r="E75" s="13"/>
    </row>
    <row r="76">
      <c r="B76" s="16"/>
      <c r="C76" s="16"/>
      <c r="D76" s="16"/>
      <c r="E76" s="13"/>
    </row>
    <row r="77">
      <c r="B77" s="16"/>
      <c r="C77" s="16"/>
      <c r="D77" s="16"/>
      <c r="E77" s="13"/>
    </row>
    <row r="78">
      <c r="B78" s="16"/>
      <c r="C78" s="16"/>
      <c r="D78" s="16"/>
      <c r="E78" s="13"/>
    </row>
    <row r="79">
      <c r="B79" s="16"/>
      <c r="C79" s="16"/>
      <c r="D79" s="16"/>
      <c r="E79" s="13"/>
    </row>
    <row r="80">
      <c r="B80" s="16"/>
      <c r="C80" s="16"/>
      <c r="D80" s="16"/>
      <c r="E80" s="13"/>
    </row>
    <row r="81">
      <c r="B81" s="16"/>
      <c r="C81" s="16"/>
      <c r="D81" s="16"/>
      <c r="E81" s="13"/>
    </row>
    <row r="82">
      <c r="B82" s="16"/>
      <c r="C82" s="16"/>
      <c r="D82" s="16"/>
      <c r="E82" s="13"/>
    </row>
    <row r="83">
      <c r="B83" s="16"/>
      <c r="C83" s="16"/>
      <c r="D83" s="16"/>
      <c r="E83" s="13"/>
    </row>
    <row r="84">
      <c r="B84" s="16"/>
      <c r="C84" s="16"/>
      <c r="D84" s="16"/>
      <c r="E84" s="13"/>
    </row>
    <row r="85">
      <c r="B85" s="16"/>
      <c r="C85" s="16"/>
      <c r="D85" s="16"/>
      <c r="E85" s="13"/>
    </row>
    <row r="86">
      <c r="B86" s="16"/>
      <c r="C86" s="16"/>
      <c r="D86" s="16"/>
      <c r="E86" s="13"/>
    </row>
    <row r="87">
      <c r="B87" s="16"/>
      <c r="C87" s="16"/>
      <c r="D87" s="16"/>
      <c r="E87" s="13"/>
    </row>
    <row r="88">
      <c r="B88" s="16"/>
      <c r="C88" s="16"/>
      <c r="D88" s="16"/>
      <c r="E88" s="13"/>
    </row>
    <row r="89">
      <c r="B89" s="16"/>
      <c r="C89" s="16"/>
      <c r="D89" s="16"/>
      <c r="E89" s="13"/>
    </row>
    <row r="90">
      <c r="B90" s="16"/>
      <c r="C90" s="16"/>
      <c r="D90" s="16"/>
      <c r="E90" s="13"/>
    </row>
    <row r="91">
      <c r="B91" s="16"/>
      <c r="C91" s="16"/>
      <c r="D91" s="16"/>
      <c r="E91" s="13"/>
    </row>
    <row r="92">
      <c r="B92" s="16"/>
      <c r="C92" s="16"/>
      <c r="D92" s="16"/>
      <c r="E92" s="13"/>
    </row>
    <row r="93">
      <c r="B93" s="16"/>
      <c r="C93" s="16"/>
      <c r="D93" s="16"/>
      <c r="E93" s="13"/>
    </row>
    <row r="94">
      <c r="B94" s="16"/>
      <c r="C94" s="16"/>
      <c r="D94" s="16"/>
      <c r="E94" s="13"/>
    </row>
    <row r="95">
      <c r="B95" s="16"/>
      <c r="C95" s="16"/>
      <c r="D95" s="16"/>
      <c r="E95" s="13"/>
    </row>
    <row r="96">
      <c r="B96" s="16"/>
      <c r="C96" s="16"/>
      <c r="D96" s="16"/>
      <c r="E96" s="13"/>
    </row>
    <row r="97">
      <c r="B97" s="16"/>
      <c r="C97" s="16"/>
      <c r="D97" s="16"/>
      <c r="E97" s="13"/>
    </row>
    <row r="98">
      <c r="B98" s="16"/>
      <c r="C98" s="16"/>
      <c r="D98" s="16"/>
      <c r="E98" s="13"/>
    </row>
    <row r="99">
      <c r="B99" s="16"/>
      <c r="C99" s="16"/>
      <c r="D99" s="16"/>
      <c r="E99" s="13"/>
    </row>
    <row r="100">
      <c r="B100" s="16"/>
      <c r="C100" s="16"/>
      <c r="D100" s="16"/>
      <c r="E100" s="13"/>
    </row>
    <row r="101">
      <c r="B101" s="16"/>
      <c r="C101" s="16"/>
      <c r="D101" s="16"/>
      <c r="E101" s="13"/>
    </row>
    <row r="102">
      <c r="B102" s="16"/>
      <c r="C102" s="16"/>
      <c r="D102" s="16"/>
      <c r="E102" s="13"/>
    </row>
    <row r="103">
      <c r="B103" s="16"/>
      <c r="C103" s="16"/>
      <c r="D103" s="16"/>
      <c r="E103" s="13"/>
    </row>
    <row r="104">
      <c r="B104" s="16"/>
      <c r="C104" s="16"/>
      <c r="D104" s="16"/>
      <c r="E104" s="13"/>
    </row>
    <row r="105">
      <c r="B105" s="16"/>
      <c r="C105" s="16"/>
      <c r="D105" s="16"/>
      <c r="E105" s="13"/>
    </row>
    <row r="106">
      <c r="B106" s="16"/>
      <c r="C106" s="16"/>
      <c r="D106" s="16"/>
      <c r="E106" s="13"/>
    </row>
    <row r="107">
      <c r="B107" s="16"/>
      <c r="C107" s="16"/>
      <c r="D107" s="16"/>
      <c r="E107" s="13"/>
    </row>
    <row r="108">
      <c r="B108" s="16"/>
      <c r="C108" s="16"/>
      <c r="D108" s="16"/>
      <c r="E108" s="13"/>
    </row>
    <row r="109">
      <c r="B109" s="16"/>
      <c r="C109" s="16"/>
      <c r="D109" s="16"/>
      <c r="E109" s="13"/>
    </row>
    <row r="110">
      <c r="B110" s="16"/>
      <c r="C110" s="16"/>
      <c r="D110" s="16"/>
      <c r="E110" s="13"/>
    </row>
    <row r="111">
      <c r="B111" s="16"/>
      <c r="C111" s="16"/>
      <c r="D111" s="16"/>
      <c r="E111" s="13"/>
    </row>
    <row r="112">
      <c r="B112" s="16"/>
      <c r="C112" s="16"/>
      <c r="D112" s="16"/>
      <c r="E112" s="13"/>
    </row>
    <row r="113">
      <c r="B113" s="16"/>
      <c r="C113" s="16"/>
      <c r="D113" s="16"/>
      <c r="E113" s="13"/>
    </row>
    <row r="114">
      <c r="B114" s="16"/>
      <c r="C114" s="16"/>
      <c r="D114" s="16"/>
      <c r="E114" s="13"/>
    </row>
    <row r="115">
      <c r="B115" s="16"/>
      <c r="C115" s="16"/>
      <c r="D115" s="16"/>
      <c r="E115" s="13"/>
    </row>
    <row r="116">
      <c r="B116" s="16"/>
      <c r="C116" s="16"/>
      <c r="D116" s="16"/>
      <c r="E116" s="13"/>
    </row>
    <row r="117">
      <c r="B117" s="16"/>
      <c r="C117" s="16"/>
      <c r="D117" s="16"/>
      <c r="E117" s="13"/>
    </row>
    <row r="118">
      <c r="B118" s="16"/>
      <c r="C118" s="16"/>
      <c r="D118" s="16"/>
      <c r="E118" s="13"/>
    </row>
    <row r="119">
      <c r="B119" s="16"/>
      <c r="C119" s="16"/>
      <c r="D119" s="16"/>
      <c r="E119" s="13"/>
    </row>
    <row r="120">
      <c r="B120" s="16"/>
      <c r="C120" s="16"/>
      <c r="D120" s="16"/>
      <c r="E120" s="13"/>
    </row>
    <row r="121">
      <c r="B121" s="16"/>
      <c r="C121" s="16"/>
      <c r="D121" s="16"/>
      <c r="E121" s="13"/>
    </row>
    <row r="122">
      <c r="B122" s="16"/>
      <c r="C122" s="16"/>
      <c r="D122" s="16"/>
      <c r="E122" s="13"/>
    </row>
    <row r="123">
      <c r="B123" s="16"/>
      <c r="C123" s="16"/>
      <c r="D123" s="16"/>
      <c r="E123" s="13"/>
    </row>
    <row r="124">
      <c r="B124" s="16"/>
      <c r="C124" s="16"/>
      <c r="D124" s="16"/>
      <c r="E124" s="13"/>
    </row>
    <row r="125">
      <c r="B125" s="16"/>
      <c r="C125" s="16"/>
      <c r="D125" s="16"/>
      <c r="E125" s="13"/>
    </row>
    <row r="126">
      <c r="B126" s="16"/>
      <c r="C126" s="16"/>
      <c r="D126" s="16"/>
      <c r="E126" s="13"/>
    </row>
    <row r="127">
      <c r="B127" s="16"/>
      <c r="C127" s="16"/>
      <c r="D127" s="16"/>
      <c r="E127" s="13"/>
    </row>
    <row r="128">
      <c r="B128" s="16"/>
      <c r="C128" s="16"/>
      <c r="D128" s="16"/>
      <c r="E128" s="13"/>
    </row>
    <row r="129">
      <c r="B129" s="16"/>
      <c r="C129" s="16"/>
      <c r="D129" s="16"/>
      <c r="E129" s="13"/>
    </row>
    <row r="130">
      <c r="B130" s="16"/>
      <c r="C130" s="16"/>
      <c r="D130" s="16"/>
      <c r="E130" s="13"/>
    </row>
    <row r="131">
      <c r="B131" s="16"/>
      <c r="C131" s="16"/>
      <c r="D131" s="16"/>
      <c r="E131" s="13"/>
    </row>
    <row r="132">
      <c r="B132" s="16"/>
      <c r="C132" s="16"/>
      <c r="D132" s="16"/>
      <c r="E132" s="13"/>
    </row>
    <row r="133">
      <c r="B133" s="16"/>
      <c r="C133" s="16"/>
      <c r="D133" s="16"/>
      <c r="E133" s="13"/>
    </row>
    <row r="134">
      <c r="B134" s="16"/>
      <c r="C134" s="16"/>
      <c r="D134" s="16"/>
      <c r="E134" s="13"/>
    </row>
    <row r="135">
      <c r="B135" s="16"/>
      <c r="C135" s="16"/>
      <c r="D135" s="16"/>
      <c r="E135" s="13"/>
    </row>
    <row r="136">
      <c r="B136" s="16"/>
      <c r="C136" s="16"/>
      <c r="D136" s="16"/>
      <c r="E136" s="13"/>
    </row>
    <row r="137">
      <c r="B137" s="16"/>
      <c r="C137" s="16"/>
      <c r="D137" s="16"/>
      <c r="E137" s="13"/>
    </row>
    <row r="138">
      <c r="B138" s="16"/>
      <c r="C138" s="16"/>
      <c r="D138" s="16"/>
      <c r="E138" s="13"/>
    </row>
    <row r="139">
      <c r="B139" s="16"/>
      <c r="C139" s="16"/>
      <c r="D139" s="16"/>
      <c r="E139" s="13"/>
    </row>
    <row r="140">
      <c r="B140" s="16"/>
      <c r="C140" s="16"/>
      <c r="D140" s="16"/>
      <c r="E140" s="13"/>
    </row>
    <row r="141">
      <c r="B141" s="16"/>
      <c r="C141" s="16"/>
      <c r="D141" s="16"/>
      <c r="E141" s="13"/>
    </row>
    <row r="142">
      <c r="B142" s="16"/>
      <c r="C142" s="16"/>
      <c r="D142" s="16"/>
      <c r="E142" s="13"/>
    </row>
    <row r="143">
      <c r="B143" s="16"/>
      <c r="C143" s="16"/>
      <c r="D143" s="16"/>
      <c r="E143" s="13"/>
    </row>
    <row r="144">
      <c r="B144" s="16"/>
      <c r="C144" s="16"/>
      <c r="D144" s="16"/>
      <c r="E144" s="13"/>
    </row>
    <row r="145">
      <c r="B145" s="16"/>
      <c r="C145" s="16"/>
      <c r="D145" s="16"/>
      <c r="E145" s="13"/>
    </row>
    <row r="146">
      <c r="B146" s="16"/>
      <c r="C146" s="16"/>
      <c r="D146" s="16"/>
      <c r="E146" s="13"/>
    </row>
    <row r="147">
      <c r="B147" s="16"/>
      <c r="C147" s="16"/>
      <c r="D147" s="16"/>
      <c r="E147" s="13"/>
    </row>
    <row r="148">
      <c r="B148" s="16"/>
      <c r="C148" s="16"/>
      <c r="D148" s="16"/>
      <c r="E148" s="13"/>
    </row>
    <row r="149">
      <c r="B149" s="16"/>
      <c r="C149" s="16"/>
      <c r="D149" s="16"/>
      <c r="E149" s="13"/>
    </row>
    <row r="150">
      <c r="B150" s="16"/>
      <c r="C150" s="16"/>
      <c r="D150" s="16"/>
      <c r="E150" s="13"/>
    </row>
    <row r="151">
      <c r="B151" s="16"/>
      <c r="C151" s="16"/>
      <c r="D151" s="16"/>
      <c r="E151" s="13"/>
    </row>
    <row r="152">
      <c r="B152" s="16"/>
      <c r="C152" s="16"/>
      <c r="D152" s="16"/>
      <c r="E152" s="13"/>
    </row>
    <row r="153">
      <c r="B153" s="16"/>
      <c r="C153" s="16"/>
      <c r="D153" s="16"/>
      <c r="E153" s="13"/>
    </row>
    <row r="154">
      <c r="B154" s="16"/>
      <c r="C154" s="16"/>
      <c r="D154" s="16"/>
      <c r="E154" s="13"/>
    </row>
    <row r="155">
      <c r="B155" s="16"/>
      <c r="C155" s="16"/>
      <c r="D155" s="16"/>
      <c r="E155" s="13"/>
    </row>
    <row r="156">
      <c r="B156" s="16"/>
      <c r="C156" s="16"/>
      <c r="D156" s="16"/>
      <c r="E156" s="13"/>
    </row>
    <row r="157">
      <c r="B157" s="16"/>
      <c r="C157" s="16"/>
      <c r="D157" s="16"/>
      <c r="E157" s="13"/>
    </row>
    <row r="158">
      <c r="B158" s="16"/>
      <c r="C158" s="16"/>
      <c r="D158" s="16"/>
      <c r="E158" s="13"/>
    </row>
    <row r="159">
      <c r="B159" s="16"/>
      <c r="C159" s="16"/>
      <c r="D159" s="16"/>
      <c r="E159" s="13"/>
    </row>
    <row r="160">
      <c r="B160" s="16"/>
      <c r="C160" s="16"/>
      <c r="D160" s="16"/>
      <c r="E160" s="13"/>
    </row>
    <row r="161">
      <c r="B161" s="16"/>
      <c r="C161" s="16"/>
      <c r="D161" s="16"/>
      <c r="E161" s="13"/>
    </row>
    <row r="162">
      <c r="B162" s="16"/>
      <c r="C162" s="16"/>
      <c r="D162" s="16"/>
      <c r="E162" s="13"/>
    </row>
    <row r="163">
      <c r="B163" s="16"/>
      <c r="C163" s="16"/>
      <c r="D163" s="16"/>
      <c r="E163" s="13"/>
    </row>
    <row r="164">
      <c r="B164" s="16"/>
      <c r="C164" s="16"/>
      <c r="D164" s="16"/>
      <c r="E164" s="13"/>
    </row>
    <row r="165">
      <c r="B165" s="16"/>
      <c r="C165" s="16"/>
      <c r="D165" s="16"/>
      <c r="E165" s="13"/>
    </row>
    <row r="166">
      <c r="B166" s="16"/>
      <c r="C166" s="16"/>
      <c r="D166" s="16"/>
      <c r="E166" s="13"/>
    </row>
    <row r="167">
      <c r="B167" s="16"/>
      <c r="C167" s="16"/>
      <c r="D167" s="16"/>
      <c r="E167" s="13"/>
    </row>
    <row r="168">
      <c r="B168" s="16"/>
      <c r="C168" s="16"/>
      <c r="D168" s="16"/>
      <c r="E168" s="13"/>
    </row>
    <row r="169">
      <c r="B169" s="16"/>
      <c r="C169" s="16"/>
      <c r="D169" s="16"/>
      <c r="E169" s="13"/>
    </row>
    <row r="170">
      <c r="B170" s="16"/>
      <c r="C170" s="16"/>
      <c r="D170" s="16"/>
      <c r="E170" s="13"/>
    </row>
    <row r="171">
      <c r="B171" s="16"/>
      <c r="C171" s="16"/>
      <c r="D171" s="16"/>
      <c r="E171" s="13"/>
    </row>
    <row r="172">
      <c r="B172" s="16"/>
      <c r="C172" s="16"/>
      <c r="D172" s="16"/>
      <c r="E172" s="13"/>
    </row>
    <row r="173">
      <c r="B173" s="16"/>
      <c r="C173" s="16"/>
      <c r="D173" s="16"/>
      <c r="E173" s="13"/>
    </row>
    <row r="174">
      <c r="B174" s="16"/>
      <c r="C174" s="16"/>
      <c r="D174" s="16"/>
      <c r="E174" s="13"/>
    </row>
    <row r="175">
      <c r="B175" s="16"/>
      <c r="C175" s="16"/>
      <c r="D175" s="16"/>
      <c r="E175" s="13"/>
    </row>
    <row r="176">
      <c r="B176" s="16"/>
      <c r="C176" s="16"/>
      <c r="D176" s="16"/>
      <c r="E176" s="13"/>
    </row>
    <row r="177">
      <c r="B177" s="16"/>
      <c r="C177" s="16"/>
      <c r="D177" s="16"/>
      <c r="E177" s="13"/>
    </row>
    <row r="178">
      <c r="B178" s="16"/>
      <c r="C178" s="16"/>
      <c r="D178" s="16"/>
      <c r="E178" s="13"/>
    </row>
    <row r="179">
      <c r="B179" s="16"/>
      <c r="C179" s="16"/>
      <c r="D179" s="16"/>
      <c r="E179" s="13"/>
    </row>
    <row r="180">
      <c r="B180" s="16"/>
      <c r="C180" s="16"/>
      <c r="D180" s="16"/>
      <c r="E180" s="13"/>
    </row>
    <row r="181">
      <c r="B181" s="16"/>
      <c r="C181" s="16"/>
      <c r="D181" s="16"/>
      <c r="E181" s="13"/>
    </row>
    <row r="182">
      <c r="B182" s="16"/>
      <c r="C182" s="16"/>
      <c r="D182" s="16"/>
      <c r="E182" s="13"/>
    </row>
    <row r="183">
      <c r="B183" s="16"/>
      <c r="C183" s="16"/>
      <c r="D183" s="16"/>
      <c r="E183" s="13"/>
    </row>
    <row r="184">
      <c r="B184" s="16"/>
      <c r="C184" s="16"/>
      <c r="D184" s="16"/>
      <c r="E184" s="13"/>
    </row>
    <row r="185">
      <c r="B185" s="16"/>
      <c r="C185" s="16"/>
      <c r="D185" s="16"/>
      <c r="E185" s="13"/>
    </row>
    <row r="186">
      <c r="B186" s="16"/>
      <c r="C186" s="16"/>
      <c r="D186" s="16"/>
      <c r="E186" s="13"/>
    </row>
    <row r="187">
      <c r="B187" s="16"/>
      <c r="C187" s="16"/>
      <c r="D187" s="16"/>
      <c r="E187" s="13"/>
    </row>
    <row r="188">
      <c r="B188" s="16"/>
      <c r="C188" s="16"/>
      <c r="D188" s="16"/>
      <c r="E188" s="13"/>
    </row>
    <row r="189">
      <c r="B189" s="16"/>
      <c r="C189" s="16"/>
      <c r="D189" s="16"/>
      <c r="E189" s="13"/>
    </row>
    <row r="190">
      <c r="B190" s="16"/>
      <c r="C190" s="16"/>
      <c r="D190" s="16"/>
      <c r="E190" s="13"/>
    </row>
    <row r="191">
      <c r="B191" s="16"/>
      <c r="C191" s="16"/>
      <c r="D191" s="16"/>
      <c r="E191" s="13"/>
    </row>
    <row r="192">
      <c r="B192" s="16"/>
      <c r="C192" s="16"/>
      <c r="D192" s="16"/>
      <c r="E192" s="13"/>
    </row>
    <row r="193">
      <c r="B193" s="16"/>
      <c r="C193" s="16"/>
      <c r="D193" s="16"/>
      <c r="E193" s="13"/>
    </row>
    <row r="194">
      <c r="B194" s="16"/>
      <c r="C194" s="16"/>
      <c r="D194" s="16"/>
      <c r="E194" s="13"/>
    </row>
    <row r="195">
      <c r="B195" s="16"/>
      <c r="C195" s="16"/>
      <c r="D195" s="16"/>
      <c r="E195" s="13"/>
    </row>
    <row r="196">
      <c r="B196" s="16"/>
      <c r="C196" s="16"/>
      <c r="D196" s="16"/>
      <c r="E196" s="13"/>
    </row>
    <row r="197">
      <c r="B197" s="16"/>
      <c r="C197" s="16"/>
      <c r="D197" s="16"/>
      <c r="E197" s="13"/>
    </row>
    <row r="198">
      <c r="B198" s="16"/>
      <c r="C198" s="16"/>
      <c r="D198" s="16"/>
      <c r="E198" s="13"/>
    </row>
    <row r="199">
      <c r="B199" s="16"/>
      <c r="C199" s="16"/>
      <c r="D199" s="16"/>
      <c r="E199" s="13"/>
    </row>
    <row r="200">
      <c r="B200" s="16"/>
      <c r="C200" s="16"/>
      <c r="D200" s="16"/>
      <c r="E200" s="13"/>
    </row>
    <row r="201">
      <c r="B201" s="16"/>
      <c r="C201" s="16"/>
      <c r="D201" s="16"/>
      <c r="E201" s="13"/>
    </row>
    <row r="202">
      <c r="B202" s="16"/>
      <c r="C202" s="16"/>
      <c r="D202" s="16"/>
      <c r="E202" s="13"/>
    </row>
    <row r="203">
      <c r="B203" s="16"/>
      <c r="C203" s="16"/>
      <c r="D203" s="16"/>
      <c r="E203" s="13"/>
    </row>
    <row r="204">
      <c r="B204" s="16"/>
      <c r="C204" s="16"/>
      <c r="D204" s="16"/>
      <c r="E204" s="13"/>
    </row>
    <row r="205">
      <c r="B205" s="16"/>
      <c r="C205" s="16"/>
      <c r="D205" s="16"/>
      <c r="E205" s="13"/>
    </row>
    <row r="206">
      <c r="B206" s="16"/>
      <c r="C206" s="16"/>
      <c r="D206" s="16"/>
      <c r="E206" s="13"/>
    </row>
    <row r="207">
      <c r="B207" s="16"/>
      <c r="C207" s="16"/>
      <c r="D207" s="16"/>
      <c r="E207" s="13"/>
    </row>
    <row r="208">
      <c r="B208" s="16"/>
      <c r="C208" s="16"/>
      <c r="D208" s="16"/>
      <c r="E208" s="13"/>
    </row>
    <row r="209">
      <c r="B209" s="16"/>
      <c r="C209" s="16"/>
      <c r="D209" s="16"/>
      <c r="E209" s="13"/>
    </row>
    <row r="210">
      <c r="B210" s="16"/>
      <c r="C210" s="16"/>
      <c r="D210" s="16"/>
      <c r="E210" s="13"/>
    </row>
    <row r="211">
      <c r="B211" s="16"/>
      <c r="C211" s="16"/>
      <c r="D211" s="16"/>
      <c r="E211" s="13"/>
    </row>
    <row r="212">
      <c r="B212" s="16"/>
      <c r="C212" s="16"/>
      <c r="D212" s="16"/>
      <c r="E212" s="13"/>
    </row>
    <row r="213">
      <c r="B213" s="16"/>
      <c r="C213" s="16"/>
      <c r="D213" s="16"/>
      <c r="E213" s="13"/>
    </row>
    <row r="214">
      <c r="B214" s="16"/>
      <c r="C214" s="16"/>
      <c r="D214" s="16"/>
      <c r="E214" s="13"/>
    </row>
    <row r="215">
      <c r="B215" s="16"/>
      <c r="C215" s="16"/>
      <c r="D215" s="16"/>
      <c r="E215" s="13"/>
    </row>
    <row r="216">
      <c r="B216" s="16"/>
      <c r="C216" s="16"/>
      <c r="D216" s="16"/>
      <c r="E216" s="13"/>
    </row>
    <row r="217">
      <c r="B217" s="16"/>
      <c r="C217" s="16"/>
      <c r="D217" s="16"/>
      <c r="E217" s="13"/>
    </row>
    <row r="218">
      <c r="B218" s="16"/>
      <c r="C218" s="16"/>
      <c r="D218" s="16"/>
      <c r="E218" s="13"/>
    </row>
    <row r="219">
      <c r="B219" s="16"/>
      <c r="C219" s="16"/>
      <c r="D219" s="16"/>
      <c r="E219" s="13"/>
    </row>
    <row r="220">
      <c r="B220" s="16"/>
      <c r="C220" s="16"/>
      <c r="D220" s="16"/>
      <c r="E220" s="13"/>
    </row>
    <row r="221">
      <c r="B221" s="16"/>
      <c r="C221" s="16"/>
      <c r="D221" s="16"/>
      <c r="E221" s="13"/>
    </row>
    <row r="222">
      <c r="B222" s="16"/>
      <c r="C222" s="16"/>
      <c r="D222" s="16"/>
      <c r="E222" s="13"/>
    </row>
    <row r="223">
      <c r="B223" s="16"/>
      <c r="C223" s="16"/>
      <c r="D223" s="16"/>
      <c r="E223" s="13"/>
    </row>
    <row r="224">
      <c r="B224" s="16"/>
      <c r="C224" s="16"/>
      <c r="D224" s="16"/>
      <c r="E224" s="13"/>
    </row>
    <row r="225">
      <c r="B225" s="16"/>
      <c r="C225" s="16"/>
      <c r="D225" s="16"/>
      <c r="E225" s="13"/>
    </row>
    <row r="226">
      <c r="B226" s="16"/>
      <c r="C226" s="16"/>
      <c r="D226" s="16"/>
      <c r="E226" s="13"/>
    </row>
    <row r="227">
      <c r="B227" s="16"/>
      <c r="C227" s="16"/>
      <c r="D227" s="16"/>
      <c r="E227" s="13"/>
    </row>
    <row r="228">
      <c r="B228" s="16"/>
      <c r="C228" s="16"/>
      <c r="D228" s="16"/>
      <c r="E228" s="13"/>
    </row>
    <row r="229">
      <c r="B229" s="16"/>
      <c r="C229" s="16"/>
      <c r="D229" s="16"/>
      <c r="E229" s="13"/>
    </row>
    <row r="230">
      <c r="B230" s="16"/>
      <c r="C230" s="16"/>
      <c r="D230" s="16"/>
      <c r="E230" s="13"/>
    </row>
    <row r="231">
      <c r="B231" s="16"/>
      <c r="C231" s="16"/>
      <c r="D231" s="16"/>
      <c r="E231" s="13"/>
    </row>
    <row r="232">
      <c r="B232" s="16"/>
      <c r="C232" s="16"/>
      <c r="D232" s="16"/>
      <c r="E232" s="13"/>
    </row>
    <row r="233">
      <c r="B233" s="16"/>
      <c r="C233" s="16"/>
      <c r="D233" s="16"/>
      <c r="E233" s="13"/>
    </row>
    <row r="234">
      <c r="B234" s="16"/>
      <c r="C234" s="16"/>
      <c r="D234" s="16"/>
      <c r="E234" s="13"/>
    </row>
    <row r="235">
      <c r="B235" s="16"/>
      <c r="C235" s="16"/>
      <c r="D235" s="16"/>
      <c r="E235" s="13"/>
    </row>
    <row r="236">
      <c r="B236" s="16"/>
      <c r="C236" s="16"/>
      <c r="D236" s="16"/>
      <c r="E236" s="13"/>
    </row>
    <row r="237">
      <c r="B237" s="16"/>
      <c r="C237" s="16"/>
      <c r="D237" s="16"/>
      <c r="E237" s="13"/>
    </row>
    <row r="238">
      <c r="B238" s="16"/>
      <c r="C238" s="16"/>
      <c r="D238" s="16"/>
      <c r="E238" s="13"/>
    </row>
    <row r="239">
      <c r="B239" s="16"/>
      <c r="C239" s="16"/>
      <c r="D239" s="16"/>
      <c r="E239" s="13"/>
    </row>
    <row r="240">
      <c r="B240" s="16"/>
      <c r="C240" s="16"/>
      <c r="D240" s="16"/>
      <c r="E240" s="13"/>
    </row>
    <row r="241">
      <c r="B241" s="16"/>
      <c r="C241" s="16"/>
      <c r="D241" s="16"/>
      <c r="E241" s="13"/>
    </row>
    <row r="242">
      <c r="B242" s="16"/>
      <c r="C242" s="16"/>
      <c r="D242" s="16"/>
      <c r="E242" s="13"/>
    </row>
    <row r="243">
      <c r="B243" s="16"/>
      <c r="C243" s="16"/>
      <c r="D243" s="16"/>
      <c r="E243" s="13"/>
    </row>
    <row r="244">
      <c r="B244" s="16"/>
      <c r="C244" s="16"/>
      <c r="D244" s="16"/>
      <c r="E244" s="13"/>
    </row>
    <row r="245">
      <c r="B245" s="16"/>
      <c r="C245" s="16"/>
      <c r="D245" s="16"/>
      <c r="E245" s="13"/>
    </row>
    <row r="246">
      <c r="B246" s="16"/>
      <c r="C246" s="16"/>
      <c r="D246" s="16"/>
      <c r="E246" s="13"/>
    </row>
    <row r="247">
      <c r="B247" s="16"/>
      <c r="C247" s="16"/>
      <c r="D247" s="16"/>
      <c r="E247" s="13"/>
    </row>
    <row r="248">
      <c r="B248" s="16"/>
      <c r="C248" s="16"/>
      <c r="D248" s="16"/>
      <c r="E248" s="13"/>
    </row>
    <row r="249">
      <c r="B249" s="16"/>
      <c r="C249" s="16"/>
      <c r="D249" s="16"/>
      <c r="E249" s="13"/>
    </row>
    <row r="250">
      <c r="B250" s="16"/>
      <c r="C250" s="16"/>
      <c r="D250" s="16"/>
      <c r="E250" s="13"/>
    </row>
    <row r="251">
      <c r="B251" s="16"/>
      <c r="C251" s="16"/>
      <c r="D251" s="16"/>
      <c r="E251" s="13"/>
    </row>
    <row r="252">
      <c r="B252" s="16"/>
      <c r="C252" s="16"/>
      <c r="D252" s="16"/>
      <c r="E252" s="13"/>
    </row>
    <row r="253">
      <c r="B253" s="16"/>
      <c r="C253" s="16"/>
      <c r="D253" s="16"/>
      <c r="E253" s="13"/>
    </row>
    <row r="254">
      <c r="B254" s="16"/>
      <c r="C254" s="16"/>
      <c r="D254" s="16"/>
      <c r="E254" s="13"/>
    </row>
    <row r="255">
      <c r="B255" s="16"/>
      <c r="C255" s="16"/>
      <c r="D255" s="16"/>
      <c r="E255" s="13"/>
    </row>
    <row r="256">
      <c r="B256" s="16"/>
      <c r="C256" s="16"/>
      <c r="D256" s="16"/>
      <c r="E256" s="13"/>
    </row>
    <row r="257">
      <c r="B257" s="16"/>
      <c r="C257" s="16"/>
      <c r="D257" s="16"/>
      <c r="E257" s="13"/>
    </row>
    <row r="258">
      <c r="B258" s="16"/>
      <c r="C258" s="16"/>
      <c r="D258" s="16"/>
      <c r="E258" s="13"/>
    </row>
    <row r="259">
      <c r="B259" s="16"/>
      <c r="C259" s="16"/>
      <c r="D259" s="16"/>
      <c r="E259" s="13"/>
    </row>
    <row r="260">
      <c r="B260" s="16"/>
      <c r="C260" s="16"/>
      <c r="D260" s="16"/>
      <c r="E260" s="13"/>
    </row>
    <row r="261">
      <c r="B261" s="16"/>
      <c r="C261" s="16"/>
      <c r="D261" s="16"/>
      <c r="E261" s="13"/>
    </row>
    <row r="262">
      <c r="B262" s="16"/>
      <c r="C262" s="16"/>
      <c r="D262" s="16"/>
      <c r="E262" s="13"/>
    </row>
    <row r="263">
      <c r="B263" s="16"/>
      <c r="C263" s="16"/>
      <c r="D263" s="16"/>
      <c r="E263" s="13"/>
    </row>
    <row r="264">
      <c r="B264" s="16"/>
      <c r="C264" s="16"/>
      <c r="D264" s="16"/>
      <c r="E264" s="13"/>
    </row>
    <row r="265">
      <c r="B265" s="16"/>
      <c r="C265" s="16"/>
      <c r="D265" s="16"/>
      <c r="E265" s="13"/>
    </row>
    <row r="266">
      <c r="B266" s="16"/>
      <c r="C266" s="16"/>
      <c r="D266" s="16"/>
      <c r="E266" s="13"/>
    </row>
    <row r="267">
      <c r="B267" s="16"/>
      <c r="C267" s="16"/>
      <c r="D267" s="16"/>
      <c r="E267" s="13"/>
    </row>
    <row r="268">
      <c r="B268" s="16"/>
      <c r="C268" s="16"/>
      <c r="D268" s="16"/>
      <c r="E268" s="13"/>
    </row>
    <row r="269">
      <c r="B269" s="16"/>
      <c r="C269" s="16"/>
      <c r="D269" s="16"/>
      <c r="E269" s="13"/>
    </row>
    <row r="270">
      <c r="B270" s="16"/>
      <c r="C270" s="16"/>
      <c r="D270" s="16"/>
      <c r="E270" s="13"/>
    </row>
    <row r="271">
      <c r="B271" s="16"/>
      <c r="C271" s="16"/>
      <c r="D271" s="16"/>
      <c r="E271" s="13"/>
    </row>
    <row r="272">
      <c r="B272" s="16"/>
      <c r="C272" s="16"/>
      <c r="D272" s="16"/>
      <c r="E272" s="13"/>
    </row>
    <row r="273">
      <c r="B273" s="16"/>
      <c r="C273" s="16"/>
      <c r="D273" s="16"/>
      <c r="E273" s="13"/>
    </row>
    <row r="274">
      <c r="B274" s="16"/>
      <c r="C274" s="16"/>
      <c r="D274" s="16"/>
      <c r="E274" s="13"/>
    </row>
    <row r="275">
      <c r="B275" s="16"/>
      <c r="C275" s="16"/>
      <c r="D275" s="16"/>
      <c r="E275" s="13"/>
    </row>
    <row r="276">
      <c r="B276" s="16"/>
      <c r="C276" s="16"/>
      <c r="D276" s="16"/>
      <c r="E276" s="13"/>
    </row>
    <row r="277">
      <c r="B277" s="16"/>
      <c r="C277" s="16"/>
      <c r="D277" s="16"/>
      <c r="E277" s="13"/>
    </row>
    <row r="278">
      <c r="B278" s="16"/>
      <c r="C278" s="16"/>
      <c r="D278" s="16"/>
      <c r="E278" s="13"/>
    </row>
    <row r="279">
      <c r="B279" s="16"/>
      <c r="C279" s="16"/>
      <c r="D279" s="16"/>
      <c r="E279" s="13"/>
    </row>
    <row r="280">
      <c r="B280" s="16"/>
      <c r="C280" s="16"/>
      <c r="D280" s="16"/>
      <c r="E280" s="13"/>
    </row>
    <row r="281">
      <c r="B281" s="16"/>
      <c r="C281" s="16"/>
      <c r="D281" s="16"/>
      <c r="E281" s="13"/>
    </row>
    <row r="282">
      <c r="B282" s="16"/>
      <c r="C282" s="16"/>
      <c r="D282" s="16"/>
      <c r="E282" s="13"/>
    </row>
    <row r="283">
      <c r="B283" s="16"/>
      <c r="C283" s="16"/>
      <c r="D283" s="16"/>
      <c r="E283" s="13"/>
    </row>
    <row r="284">
      <c r="B284" s="16"/>
      <c r="C284" s="16"/>
      <c r="D284" s="16"/>
      <c r="E284" s="13"/>
    </row>
    <row r="285">
      <c r="B285" s="16"/>
      <c r="C285" s="16"/>
      <c r="D285" s="16"/>
      <c r="E285" s="13"/>
    </row>
    <row r="286">
      <c r="B286" s="16"/>
      <c r="C286" s="16"/>
      <c r="D286" s="16"/>
      <c r="E286" s="13"/>
    </row>
    <row r="287">
      <c r="B287" s="16"/>
      <c r="C287" s="16"/>
      <c r="D287" s="16"/>
      <c r="E287" s="13"/>
    </row>
    <row r="288">
      <c r="B288" s="16"/>
      <c r="C288" s="16"/>
      <c r="D288" s="16"/>
      <c r="E288" s="13"/>
    </row>
    <row r="289">
      <c r="B289" s="16"/>
      <c r="C289" s="16"/>
      <c r="D289" s="16"/>
      <c r="E289" s="13"/>
    </row>
    <row r="290">
      <c r="B290" s="16"/>
      <c r="C290" s="16"/>
      <c r="D290" s="16"/>
      <c r="E290" s="13"/>
    </row>
    <row r="291">
      <c r="B291" s="16"/>
      <c r="C291" s="16"/>
      <c r="D291" s="16"/>
      <c r="E291" s="13"/>
    </row>
    <row r="292">
      <c r="B292" s="16"/>
      <c r="C292" s="16"/>
      <c r="D292" s="16"/>
      <c r="E292" s="13"/>
    </row>
    <row r="293">
      <c r="B293" s="16"/>
      <c r="C293" s="16"/>
      <c r="D293" s="16"/>
      <c r="E293" s="13"/>
    </row>
    <row r="294">
      <c r="B294" s="16"/>
      <c r="C294" s="16"/>
      <c r="D294" s="16"/>
      <c r="E294" s="13"/>
    </row>
    <row r="295">
      <c r="B295" s="16"/>
      <c r="C295" s="16"/>
      <c r="D295" s="16"/>
      <c r="E295" s="13"/>
    </row>
    <row r="296">
      <c r="B296" s="16"/>
      <c r="C296" s="16"/>
      <c r="D296" s="16"/>
      <c r="E296" s="13"/>
    </row>
    <row r="297">
      <c r="B297" s="16"/>
      <c r="C297" s="16"/>
      <c r="D297" s="16"/>
      <c r="E297" s="13"/>
    </row>
    <row r="298">
      <c r="B298" s="16"/>
      <c r="C298" s="16"/>
      <c r="D298" s="16"/>
      <c r="E298" s="13"/>
    </row>
    <row r="299">
      <c r="B299" s="16"/>
      <c r="C299" s="16"/>
      <c r="D299" s="16"/>
      <c r="E299" s="13"/>
    </row>
    <row r="300">
      <c r="B300" s="16"/>
      <c r="C300" s="16"/>
      <c r="D300" s="16"/>
      <c r="E300" s="13"/>
    </row>
    <row r="301">
      <c r="B301" s="16"/>
      <c r="C301" s="16"/>
      <c r="D301" s="16"/>
      <c r="E301" s="13"/>
    </row>
    <row r="302">
      <c r="B302" s="16"/>
      <c r="C302" s="16"/>
      <c r="D302" s="16"/>
      <c r="E302" s="13"/>
    </row>
    <row r="303">
      <c r="B303" s="16"/>
      <c r="C303" s="16"/>
      <c r="D303" s="16"/>
      <c r="E303" s="13"/>
    </row>
    <row r="304">
      <c r="B304" s="16"/>
      <c r="C304" s="16"/>
      <c r="D304" s="16"/>
      <c r="E304" s="13"/>
    </row>
    <row r="305">
      <c r="B305" s="16"/>
      <c r="C305" s="16"/>
      <c r="D305" s="16"/>
      <c r="E305" s="13"/>
    </row>
    <row r="306">
      <c r="B306" s="16"/>
      <c r="C306" s="16"/>
      <c r="D306" s="16"/>
      <c r="E306" s="13"/>
    </row>
    <row r="307">
      <c r="B307" s="16"/>
      <c r="C307" s="16"/>
      <c r="D307" s="16"/>
      <c r="E307" s="13"/>
    </row>
    <row r="308">
      <c r="B308" s="16"/>
      <c r="C308" s="16"/>
      <c r="D308" s="16"/>
      <c r="E308" s="13"/>
    </row>
    <row r="309">
      <c r="B309" s="16"/>
      <c r="C309" s="16"/>
      <c r="D309" s="16"/>
      <c r="E309" s="13"/>
    </row>
    <row r="310">
      <c r="B310" s="16"/>
      <c r="C310" s="16"/>
      <c r="D310" s="16"/>
      <c r="E310" s="13"/>
    </row>
    <row r="311">
      <c r="B311" s="16"/>
      <c r="C311" s="16"/>
      <c r="D311" s="16"/>
      <c r="E311" s="13"/>
    </row>
    <row r="312">
      <c r="B312" s="16"/>
      <c r="C312" s="16"/>
      <c r="D312" s="16"/>
      <c r="E312" s="13"/>
    </row>
    <row r="313">
      <c r="B313" s="16"/>
      <c r="C313" s="16"/>
      <c r="D313" s="16"/>
      <c r="E313" s="13"/>
    </row>
    <row r="314">
      <c r="B314" s="16"/>
      <c r="C314" s="16"/>
      <c r="D314" s="16"/>
      <c r="E314" s="13"/>
    </row>
    <row r="315">
      <c r="B315" s="16"/>
      <c r="C315" s="16"/>
      <c r="D315" s="16"/>
      <c r="E315" s="13"/>
    </row>
    <row r="316">
      <c r="B316" s="16"/>
      <c r="C316" s="16"/>
      <c r="D316" s="16"/>
      <c r="E316" s="13"/>
    </row>
    <row r="317">
      <c r="B317" s="16"/>
      <c r="C317" s="16"/>
      <c r="D317" s="16"/>
      <c r="E317" s="13"/>
    </row>
    <row r="318">
      <c r="B318" s="16"/>
      <c r="C318" s="16"/>
      <c r="D318" s="16"/>
      <c r="E318" s="13"/>
    </row>
    <row r="319">
      <c r="B319" s="16"/>
      <c r="C319" s="16"/>
      <c r="D319" s="16"/>
      <c r="E319" s="13"/>
    </row>
    <row r="320">
      <c r="B320" s="16"/>
      <c r="C320" s="16"/>
      <c r="D320" s="16"/>
      <c r="E320" s="13"/>
    </row>
    <row r="321">
      <c r="B321" s="16"/>
      <c r="C321" s="16"/>
      <c r="D321" s="16"/>
      <c r="E321" s="13"/>
    </row>
    <row r="322">
      <c r="B322" s="16"/>
      <c r="C322" s="16"/>
      <c r="D322" s="16"/>
      <c r="E322" s="13"/>
    </row>
    <row r="323">
      <c r="B323" s="16"/>
      <c r="C323" s="16"/>
      <c r="D323" s="16"/>
      <c r="E323" s="13"/>
    </row>
    <row r="324">
      <c r="B324" s="16"/>
      <c r="C324" s="16"/>
      <c r="D324" s="16"/>
      <c r="E324" s="13"/>
    </row>
    <row r="325">
      <c r="B325" s="16"/>
      <c r="C325" s="16"/>
      <c r="D325" s="16"/>
      <c r="E325" s="13"/>
    </row>
    <row r="326">
      <c r="B326" s="16"/>
      <c r="C326" s="16"/>
      <c r="D326" s="16"/>
      <c r="E326" s="13"/>
    </row>
    <row r="327">
      <c r="B327" s="16"/>
      <c r="C327" s="16"/>
      <c r="D327" s="16"/>
      <c r="E327" s="13"/>
    </row>
    <row r="328">
      <c r="B328" s="16"/>
      <c r="C328" s="16"/>
      <c r="D328" s="16"/>
      <c r="E328" s="13"/>
    </row>
    <row r="329">
      <c r="B329" s="16"/>
      <c r="C329" s="16"/>
      <c r="D329" s="16"/>
      <c r="E329" s="13"/>
    </row>
    <row r="330">
      <c r="B330" s="16"/>
      <c r="C330" s="16"/>
      <c r="D330" s="16"/>
      <c r="E330" s="13"/>
    </row>
    <row r="331">
      <c r="B331" s="16"/>
      <c r="C331" s="16"/>
      <c r="D331" s="16"/>
      <c r="E331" s="13"/>
    </row>
    <row r="332">
      <c r="B332" s="16"/>
      <c r="C332" s="16"/>
      <c r="D332" s="16"/>
      <c r="E332" s="13"/>
    </row>
    <row r="333">
      <c r="B333" s="16"/>
      <c r="C333" s="16"/>
      <c r="D333" s="16"/>
      <c r="E333" s="13"/>
    </row>
    <row r="334">
      <c r="B334" s="16"/>
      <c r="C334" s="16"/>
      <c r="D334" s="16"/>
      <c r="E334" s="13"/>
    </row>
    <row r="335">
      <c r="B335" s="16"/>
      <c r="C335" s="16"/>
      <c r="D335" s="16"/>
      <c r="E335" s="13"/>
    </row>
    <row r="336">
      <c r="B336" s="16"/>
      <c r="C336" s="16"/>
      <c r="D336" s="16"/>
      <c r="E336" s="13"/>
    </row>
    <row r="337">
      <c r="B337" s="16"/>
      <c r="C337" s="16"/>
      <c r="D337" s="16"/>
      <c r="E337" s="13"/>
    </row>
    <row r="338">
      <c r="B338" s="16"/>
      <c r="C338" s="16"/>
      <c r="D338" s="16"/>
      <c r="E338" s="13"/>
    </row>
    <row r="339">
      <c r="B339" s="16"/>
      <c r="C339" s="16"/>
      <c r="D339" s="16"/>
      <c r="E339" s="13"/>
    </row>
    <row r="340">
      <c r="B340" s="16"/>
      <c r="C340" s="16"/>
      <c r="D340" s="16"/>
      <c r="E340" s="13"/>
    </row>
    <row r="341">
      <c r="B341" s="16"/>
      <c r="C341" s="16"/>
      <c r="D341" s="16"/>
      <c r="E341" s="13"/>
    </row>
    <row r="342">
      <c r="B342" s="16"/>
      <c r="C342" s="16"/>
      <c r="D342" s="16"/>
      <c r="E342" s="13"/>
    </row>
    <row r="343">
      <c r="B343" s="16"/>
      <c r="C343" s="16"/>
      <c r="D343" s="16"/>
      <c r="E343" s="13"/>
    </row>
    <row r="344">
      <c r="B344" s="16"/>
      <c r="C344" s="16"/>
      <c r="D344" s="16"/>
      <c r="E344" s="13"/>
    </row>
    <row r="345">
      <c r="B345" s="16"/>
      <c r="C345" s="16"/>
      <c r="D345" s="16"/>
      <c r="E345" s="13"/>
    </row>
    <row r="346">
      <c r="B346" s="16"/>
      <c r="C346" s="16"/>
      <c r="D346" s="16"/>
      <c r="E346" s="13"/>
    </row>
    <row r="347">
      <c r="B347" s="16"/>
      <c r="C347" s="16"/>
      <c r="D347" s="16"/>
      <c r="E347" s="13"/>
    </row>
    <row r="348">
      <c r="B348" s="16"/>
      <c r="C348" s="16"/>
      <c r="D348" s="16"/>
      <c r="E348" s="13"/>
    </row>
    <row r="349">
      <c r="B349" s="16"/>
      <c r="C349" s="16"/>
      <c r="D349" s="16"/>
      <c r="E349" s="13"/>
    </row>
    <row r="350">
      <c r="B350" s="16"/>
      <c r="C350" s="16"/>
      <c r="D350" s="16"/>
      <c r="E350" s="13"/>
    </row>
    <row r="351">
      <c r="B351" s="16"/>
      <c r="C351" s="16"/>
      <c r="D351" s="16"/>
      <c r="E351" s="13"/>
    </row>
    <row r="352">
      <c r="B352" s="16"/>
      <c r="C352" s="16"/>
      <c r="D352" s="16"/>
      <c r="E352" s="13"/>
    </row>
    <row r="353">
      <c r="B353" s="16"/>
      <c r="C353" s="16"/>
      <c r="D353" s="16"/>
      <c r="E353" s="13"/>
    </row>
    <row r="354">
      <c r="B354" s="16"/>
      <c r="C354" s="16"/>
      <c r="D354" s="16"/>
      <c r="E354" s="13"/>
    </row>
    <row r="355">
      <c r="B355" s="16"/>
      <c r="C355" s="16"/>
      <c r="D355" s="16"/>
      <c r="E355" s="13"/>
    </row>
    <row r="356">
      <c r="B356" s="16"/>
      <c r="C356" s="16"/>
      <c r="D356" s="16"/>
      <c r="E356" s="13"/>
    </row>
    <row r="357">
      <c r="B357" s="16"/>
      <c r="C357" s="16"/>
      <c r="D357" s="16"/>
      <c r="E357" s="13"/>
    </row>
    <row r="358">
      <c r="B358" s="16"/>
      <c r="C358" s="16"/>
      <c r="D358" s="16"/>
      <c r="E358" s="13"/>
    </row>
    <row r="359">
      <c r="B359" s="16"/>
      <c r="C359" s="16"/>
      <c r="D359" s="16"/>
      <c r="E359" s="13"/>
    </row>
    <row r="360">
      <c r="B360" s="16"/>
      <c r="C360" s="16"/>
      <c r="D360" s="16"/>
      <c r="E360" s="13"/>
    </row>
    <row r="361">
      <c r="B361" s="16"/>
      <c r="C361" s="16"/>
      <c r="D361" s="16"/>
      <c r="E361" s="13"/>
    </row>
    <row r="362">
      <c r="B362" s="16"/>
      <c r="C362" s="16"/>
      <c r="D362" s="16"/>
      <c r="E362" s="13"/>
    </row>
    <row r="363">
      <c r="B363" s="16"/>
      <c r="C363" s="16"/>
      <c r="D363" s="16"/>
      <c r="E363" s="13"/>
    </row>
    <row r="364">
      <c r="B364" s="16"/>
      <c r="C364" s="16"/>
      <c r="D364" s="16"/>
      <c r="E364" s="13"/>
    </row>
    <row r="365">
      <c r="B365" s="16"/>
      <c r="C365" s="16"/>
      <c r="D365" s="16"/>
      <c r="E365" s="13"/>
    </row>
    <row r="366">
      <c r="B366" s="16"/>
      <c r="C366" s="16"/>
      <c r="D366" s="16"/>
      <c r="E366" s="13"/>
    </row>
    <row r="367">
      <c r="B367" s="16"/>
      <c r="C367" s="16"/>
      <c r="D367" s="16"/>
      <c r="E367" s="13"/>
    </row>
    <row r="368">
      <c r="B368" s="16"/>
      <c r="C368" s="16"/>
      <c r="D368" s="16"/>
      <c r="E368" s="13"/>
    </row>
    <row r="369">
      <c r="B369" s="16"/>
      <c r="C369" s="16"/>
      <c r="D369" s="16"/>
      <c r="E369" s="13"/>
    </row>
    <row r="370">
      <c r="B370" s="16"/>
      <c r="C370" s="16"/>
      <c r="D370" s="16"/>
      <c r="E370" s="13"/>
    </row>
    <row r="371">
      <c r="B371" s="16"/>
      <c r="C371" s="16"/>
      <c r="D371" s="16"/>
      <c r="E371" s="13"/>
    </row>
    <row r="372">
      <c r="B372" s="16"/>
      <c r="C372" s="16"/>
      <c r="D372" s="16"/>
      <c r="E372" s="13"/>
    </row>
    <row r="373">
      <c r="B373" s="16"/>
      <c r="C373" s="16"/>
      <c r="D373" s="16"/>
      <c r="E373" s="13"/>
    </row>
    <row r="374">
      <c r="B374" s="16"/>
      <c r="C374" s="16"/>
      <c r="D374" s="16"/>
      <c r="E374" s="13"/>
    </row>
    <row r="375">
      <c r="B375" s="16"/>
      <c r="C375" s="16"/>
      <c r="D375" s="16"/>
      <c r="E375" s="13"/>
    </row>
    <row r="376">
      <c r="B376" s="16"/>
      <c r="C376" s="16"/>
      <c r="D376" s="16"/>
      <c r="E376" s="13"/>
    </row>
    <row r="377">
      <c r="B377" s="16"/>
      <c r="C377" s="16"/>
      <c r="D377" s="16"/>
      <c r="E377" s="13"/>
    </row>
    <row r="378">
      <c r="B378" s="16"/>
      <c r="C378" s="16"/>
      <c r="D378" s="16"/>
      <c r="E378" s="13"/>
    </row>
    <row r="379">
      <c r="B379" s="16"/>
      <c r="C379" s="16"/>
      <c r="D379" s="16"/>
      <c r="E379" s="13"/>
    </row>
    <row r="380">
      <c r="B380" s="16"/>
      <c r="C380" s="16"/>
      <c r="D380" s="16"/>
      <c r="E380" s="13"/>
    </row>
    <row r="381">
      <c r="B381" s="16"/>
      <c r="C381" s="16"/>
      <c r="D381" s="16"/>
      <c r="E381" s="13"/>
    </row>
    <row r="382">
      <c r="B382" s="16"/>
      <c r="C382" s="16"/>
      <c r="D382" s="16"/>
      <c r="E382" s="13"/>
    </row>
    <row r="383">
      <c r="B383" s="16"/>
      <c r="C383" s="16"/>
      <c r="D383" s="16"/>
      <c r="E383" s="13"/>
    </row>
    <row r="384">
      <c r="B384" s="16"/>
      <c r="C384" s="16"/>
      <c r="D384" s="16"/>
      <c r="E384" s="13"/>
    </row>
    <row r="385">
      <c r="B385" s="16"/>
      <c r="C385" s="16"/>
      <c r="D385" s="16"/>
      <c r="E385" s="13"/>
    </row>
    <row r="386">
      <c r="B386" s="16"/>
      <c r="C386" s="16"/>
      <c r="D386" s="16"/>
      <c r="E386" s="13"/>
    </row>
    <row r="387">
      <c r="B387" s="16"/>
      <c r="C387" s="16"/>
      <c r="D387" s="16"/>
      <c r="E387" s="13"/>
    </row>
    <row r="388">
      <c r="B388" s="16"/>
      <c r="C388" s="16"/>
      <c r="D388" s="16"/>
      <c r="E388" s="13"/>
    </row>
    <row r="389">
      <c r="B389" s="16"/>
      <c r="C389" s="16"/>
      <c r="D389" s="16"/>
      <c r="E389" s="13"/>
    </row>
    <row r="390">
      <c r="B390" s="16"/>
      <c r="C390" s="16"/>
      <c r="D390" s="16"/>
      <c r="E390" s="13"/>
    </row>
    <row r="391">
      <c r="B391" s="16"/>
      <c r="C391" s="16"/>
      <c r="D391" s="16"/>
      <c r="E391" s="13"/>
    </row>
    <row r="392">
      <c r="B392" s="16"/>
      <c r="C392" s="16"/>
      <c r="D392" s="16"/>
      <c r="E392" s="13"/>
    </row>
    <row r="393">
      <c r="B393" s="16"/>
      <c r="C393" s="16"/>
      <c r="D393" s="16"/>
      <c r="E393" s="13"/>
    </row>
    <row r="394">
      <c r="B394" s="16"/>
      <c r="C394" s="16"/>
      <c r="D394" s="16"/>
      <c r="E394" s="13"/>
    </row>
    <row r="395">
      <c r="B395" s="16"/>
      <c r="C395" s="16"/>
      <c r="D395" s="16"/>
      <c r="E395" s="13"/>
    </row>
    <row r="396">
      <c r="B396" s="16"/>
      <c r="C396" s="16"/>
      <c r="D396" s="16"/>
      <c r="E396" s="13"/>
    </row>
    <row r="397">
      <c r="B397" s="16"/>
      <c r="C397" s="16"/>
      <c r="D397" s="16"/>
      <c r="E397" s="13"/>
    </row>
    <row r="398">
      <c r="B398" s="16"/>
      <c r="C398" s="16"/>
      <c r="D398" s="16"/>
      <c r="E398" s="13"/>
    </row>
    <row r="399">
      <c r="B399" s="16"/>
      <c r="C399" s="16"/>
      <c r="D399" s="16"/>
      <c r="E399" s="13"/>
    </row>
    <row r="400">
      <c r="B400" s="16"/>
      <c r="C400" s="16"/>
      <c r="D400" s="16"/>
      <c r="E400" s="13"/>
    </row>
    <row r="401">
      <c r="B401" s="16"/>
      <c r="C401" s="16"/>
      <c r="D401" s="16"/>
      <c r="E401" s="13"/>
    </row>
    <row r="402">
      <c r="B402" s="16"/>
      <c r="C402" s="16"/>
      <c r="D402" s="16"/>
      <c r="E402" s="13"/>
    </row>
    <row r="403">
      <c r="B403" s="16"/>
      <c r="C403" s="16"/>
      <c r="D403" s="16"/>
      <c r="E403" s="13"/>
    </row>
    <row r="404">
      <c r="B404" s="16"/>
      <c r="C404" s="16"/>
      <c r="D404" s="16"/>
      <c r="E404" s="13"/>
    </row>
    <row r="405">
      <c r="B405" s="16"/>
      <c r="C405" s="16"/>
      <c r="D405" s="16"/>
      <c r="E405" s="13"/>
    </row>
    <row r="406">
      <c r="B406" s="16"/>
      <c r="C406" s="16"/>
      <c r="D406" s="16"/>
      <c r="E406" s="13"/>
    </row>
    <row r="407">
      <c r="B407" s="16"/>
      <c r="C407" s="16"/>
      <c r="D407" s="16"/>
      <c r="E407" s="13"/>
    </row>
    <row r="408">
      <c r="B408" s="16"/>
      <c r="C408" s="16"/>
      <c r="D408" s="16"/>
      <c r="E408" s="13"/>
    </row>
    <row r="409">
      <c r="B409" s="16"/>
      <c r="C409" s="16"/>
      <c r="D409" s="16"/>
      <c r="E409" s="13"/>
    </row>
    <row r="410">
      <c r="B410" s="16"/>
      <c r="C410" s="16"/>
      <c r="D410" s="16"/>
      <c r="E410" s="13"/>
    </row>
    <row r="411">
      <c r="B411" s="16"/>
      <c r="C411" s="16"/>
      <c r="D411" s="16"/>
      <c r="E411" s="13"/>
    </row>
    <row r="412">
      <c r="B412" s="16"/>
      <c r="C412" s="16"/>
      <c r="D412" s="16"/>
      <c r="E412" s="13"/>
    </row>
    <row r="413">
      <c r="B413" s="16"/>
      <c r="C413" s="16"/>
      <c r="D413" s="16"/>
      <c r="E413" s="13"/>
    </row>
    <row r="414">
      <c r="B414" s="16"/>
      <c r="C414" s="16"/>
      <c r="D414" s="16"/>
      <c r="E414" s="13"/>
    </row>
    <row r="415">
      <c r="B415" s="16"/>
      <c r="C415" s="16"/>
      <c r="D415" s="16"/>
      <c r="E415" s="13"/>
    </row>
    <row r="416">
      <c r="B416" s="16"/>
      <c r="C416" s="16"/>
      <c r="D416" s="16"/>
      <c r="E416" s="13"/>
    </row>
    <row r="417">
      <c r="B417" s="16"/>
      <c r="C417" s="16"/>
      <c r="D417" s="16"/>
      <c r="E417" s="13"/>
    </row>
    <row r="418">
      <c r="B418" s="16"/>
      <c r="C418" s="16"/>
      <c r="D418" s="16"/>
      <c r="E418" s="13"/>
    </row>
    <row r="419">
      <c r="B419" s="16"/>
      <c r="C419" s="16"/>
      <c r="D419" s="16"/>
      <c r="E419" s="13"/>
    </row>
    <row r="420">
      <c r="B420" s="16"/>
      <c r="C420" s="16"/>
      <c r="D420" s="16"/>
      <c r="E420" s="13"/>
    </row>
    <row r="421">
      <c r="B421" s="16"/>
      <c r="C421" s="16"/>
      <c r="D421" s="16"/>
      <c r="E421" s="13"/>
    </row>
    <row r="422">
      <c r="B422" s="16"/>
      <c r="C422" s="16"/>
      <c r="D422" s="16"/>
      <c r="E422" s="13"/>
    </row>
    <row r="423">
      <c r="B423" s="16"/>
      <c r="C423" s="16"/>
      <c r="D423" s="16"/>
      <c r="E423" s="13"/>
    </row>
    <row r="424">
      <c r="B424" s="16"/>
      <c r="C424" s="16"/>
      <c r="D424" s="16"/>
      <c r="E424" s="13"/>
    </row>
    <row r="425">
      <c r="B425" s="16"/>
      <c r="C425" s="16"/>
      <c r="D425" s="16"/>
      <c r="E425" s="13"/>
    </row>
    <row r="426">
      <c r="B426" s="16"/>
      <c r="C426" s="16"/>
      <c r="D426" s="16"/>
      <c r="E426" s="13"/>
    </row>
    <row r="427">
      <c r="B427" s="16"/>
      <c r="C427" s="16"/>
      <c r="D427" s="16"/>
      <c r="E427" s="13"/>
    </row>
    <row r="428">
      <c r="B428" s="16"/>
      <c r="C428" s="16"/>
      <c r="D428" s="16"/>
      <c r="E428" s="13"/>
    </row>
    <row r="429">
      <c r="B429" s="16"/>
      <c r="C429" s="16"/>
      <c r="D429" s="16"/>
      <c r="E429" s="13"/>
    </row>
    <row r="430">
      <c r="B430" s="16"/>
      <c r="C430" s="16"/>
      <c r="D430" s="16"/>
      <c r="E430" s="13"/>
    </row>
    <row r="431">
      <c r="B431" s="16"/>
      <c r="C431" s="16"/>
      <c r="D431" s="16"/>
      <c r="E431" s="13"/>
    </row>
    <row r="432">
      <c r="B432" s="16"/>
      <c r="C432" s="16"/>
      <c r="D432" s="16"/>
      <c r="E432" s="13"/>
    </row>
    <row r="433">
      <c r="B433" s="16"/>
      <c r="C433" s="16"/>
      <c r="D433" s="16"/>
      <c r="E433" s="13"/>
    </row>
    <row r="434">
      <c r="B434" s="16"/>
      <c r="C434" s="16"/>
      <c r="D434" s="16"/>
      <c r="E434" s="13"/>
    </row>
    <row r="435">
      <c r="B435" s="16"/>
      <c r="C435" s="16"/>
      <c r="D435" s="16"/>
      <c r="E435" s="13"/>
    </row>
    <row r="436">
      <c r="B436" s="16"/>
      <c r="C436" s="16"/>
      <c r="D436" s="16"/>
      <c r="E436" s="13"/>
    </row>
    <row r="437">
      <c r="B437" s="16"/>
      <c r="C437" s="16"/>
      <c r="D437" s="16"/>
      <c r="E437" s="13"/>
    </row>
    <row r="438">
      <c r="B438" s="16"/>
      <c r="C438" s="16"/>
      <c r="D438" s="16"/>
      <c r="E438" s="13"/>
    </row>
    <row r="439">
      <c r="B439" s="16"/>
      <c r="C439" s="16"/>
      <c r="D439" s="16"/>
      <c r="E439" s="13"/>
    </row>
    <row r="440">
      <c r="B440" s="16"/>
      <c r="C440" s="16"/>
      <c r="D440" s="16"/>
      <c r="E440" s="13"/>
    </row>
    <row r="441">
      <c r="B441" s="16"/>
      <c r="C441" s="16"/>
      <c r="D441" s="16"/>
      <c r="E441" s="13"/>
    </row>
    <row r="442">
      <c r="B442" s="16"/>
      <c r="C442" s="16"/>
      <c r="D442" s="16"/>
      <c r="E442" s="13"/>
    </row>
    <row r="443">
      <c r="B443" s="16"/>
      <c r="C443" s="16"/>
      <c r="D443" s="16"/>
      <c r="E443" s="13"/>
    </row>
    <row r="444">
      <c r="B444" s="16"/>
      <c r="C444" s="16"/>
      <c r="D444" s="16"/>
      <c r="E444" s="13"/>
    </row>
    <row r="445">
      <c r="B445" s="16"/>
      <c r="C445" s="16"/>
      <c r="D445" s="16"/>
      <c r="E445" s="13"/>
    </row>
    <row r="446">
      <c r="B446" s="16"/>
      <c r="C446" s="16"/>
      <c r="D446" s="16"/>
      <c r="E446" s="13"/>
    </row>
    <row r="447">
      <c r="B447" s="16"/>
      <c r="C447" s="16"/>
      <c r="D447" s="16"/>
      <c r="E447" s="13"/>
    </row>
    <row r="448">
      <c r="B448" s="16"/>
      <c r="C448" s="16"/>
      <c r="D448" s="16"/>
      <c r="E448" s="13"/>
    </row>
    <row r="449">
      <c r="B449" s="16"/>
      <c r="C449" s="16"/>
      <c r="D449" s="16"/>
      <c r="E449" s="13"/>
    </row>
    <row r="450">
      <c r="B450" s="16"/>
      <c r="C450" s="16"/>
      <c r="D450" s="16"/>
      <c r="E450" s="13"/>
    </row>
    <row r="451">
      <c r="B451" s="16"/>
      <c r="C451" s="16"/>
      <c r="D451" s="16"/>
      <c r="E451" s="13"/>
    </row>
    <row r="452">
      <c r="B452" s="16"/>
      <c r="C452" s="16"/>
      <c r="D452" s="16"/>
      <c r="E452" s="13"/>
    </row>
    <row r="453">
      <c r="B453" s="16"/>
      <c r="C453" s="16"/>
      <c r="D453" s="16"/>
      <c r="E453" s="13"/>
    </row>
    <row r="454">
      <c r="B454" s="16"/>
      <c r="C454" s="16"/>
      <c r="D454" s="16"/>
      <c r="E454" s="13"/>
    </row>
    <row r="455">
      <c r="B455" s="16"/>
      <c r="C455" s="16"/>
      <c r="D455" s="16"/>
      <c r="E455" s="13"/>
    </row>
    <row r="456">
      <c r="B456" s="16"/>
      <c r="C456" s="16"/>
      <c r="D456" s="16"/>
      <c r="E456" s="13"/>
    </row>
    <row r="457">
      <c r="B457" s="16"/>
      <c r="C457" s="16"/>
      <c r="D457" s="16"/>
      <c r="E457" s="13"/>
    </row>
    <row r="458">
      <c r="B458" s="16"/>
      <c r="C458" s="16"/>
      <c r="D458" s="16"/>
      <c r="E458" s="13"/>
    </row>
    <row r="459">
      <c r="B459" s="16"/>
      <c r="C459" s="16"/>
      <c r="D459" s="16"/>
      <c r="E459" s="13"/>
    </row>
    <row r="460">
      <c r="B460" s="16"/>
      <c r="C460" s="16"/>
      <c r="D460" s="16"/>
      <c r="E460" s="13"/>
    </row>
    <row r="461">
      <c r="B461" s="16"/>
      <c r="C461" s="16"/>
      <c r="D461" s="16"/>
      <c r="E461" s="13"/>
    </row>
    <row r="462">
      <c r="B462" s="16"/>
      <c r="C462" s="16"/>
      <c r="D462" s="16"/>
      <c r="E462" s="13"/>
    </row>
    <row r="463">
      <c r="B463" s="16"/>
      <c r="C463" s="16"/>
      <c r="D463" s="16"/>
      <c r="E463" s="13"/>
    </row>
    <row r="464">
      <c r="B464" s="16"/>
      <c r="C464" s="16"/>
      <c r="D464" s="16"/>
      <c r="E464" s="13"/>
    </row>
    <row r="465">
      <c r="B465" s="16"/>
      <c r="C465" s="16"/>
      <c r="D465" s="16"/>
      <c r="E465" s="13"/>
    </row>
    <row r="466">
      <c r="B466" s="16"/>
      <c r="C466" s="16"/>
      <c r="D466" s="16"/>
      <c r="E466" s="13"/>
    </row>
    <row r="467">
      <c r="B467" s="16"/>
      <c r="C467" s="16"/>
      <c r="D467" s="16"/>
      <c r="E467" s="13"/>
    </row>
    <row r="468">
      <c r="B468" s="16"/>
      <c r="C468" s="16"/>
      <c r="D468" s="16"/>
      <c r="E468" s="13"/>
    </row>
    <row r="469">
      <c r="B469" s="16"/>
      <c r="C469" s="16"/>
      <c r="D469" s="16"/>
      <c r="E469" s="13"/>
    </row>
    <row r="470">
      <c r="B470" s="16"/>
      <c r="C470" s="16"/>
      <c r="D470" s="16"/>
      <c r="E470" s="13"/>
    </row>
    <row r="471">
      <c r="B471" s="16"/>
      <c r="C471" s="16"/>
      <c r="D471" s="16"/>
      <c r="E471" s="13"/>
    </row>
    <row r="472">
      <c r="B472" s="16"/>
      <c r="C472" s="16"/>
      <c r="D472" s="16"/>
      <c r="E472" s="13"/>
    </row>
    <row r="473">
      <c r="B473" s="16"/>
      <c r="C473" s="16"/>
      <c r="D473" s="16"/>
      <c r="E473" s="13"/>
    </row>
    <row r="474">
      <c r="B474" s="16"/>
      <c r="C474" s="16"/>
      <c r="D474" s="16"/>
      <c r="E474" s="13"/>
    </row>
    <row r="475">
      <c r="B475" s="16"/>
      <c r="C475" s="16"/>
      <c r="D475" s="16"/>
      <c r="E475" s="13"/>
    </row>
    <row r="476">
      <c r="B476" s="16"/>
      <c r="C476" s="16"/>
      <c r="D476" s="16"/>
      <c r="E476" s="13"/>
    </row>
    <row r="477">
      <c r="B477" s="16"/>
      <c r="C477" s="16"/>
      <c r="D477" s="16"/>
      <c r="E477" s="13"/>
    </row>
    <row r="478">
      <c r="B478" s="16"/>
      <c r="C478" s="16"/>
      <c r="D478" s="16"/>
      <c r="E478" s="13"/>
    </row>
    <row r="479">
      <c r="B479" s="16"/>
      <c r="C479" s="16"/>
      <c r="D479" s="16"/>
      <c r="E479" s="13"/>
    </row>
    <row r="480">
      <c r="B480" s="16"/>
      <c r="C480" s="16"/>
      <c r="D480" s="16"/>
      <c r="E480" s="13"/>
    </row>
    <row r="481">
      <c r="B481" s="16"/>
      <c r="C481" s="16"/>
      <c r="D481" s="16"/>
      <c r="E481" s="13"/>
    </row>
    <row r="482">
      <c r="B482" s="16"/>
      <c r="C482" s="16"/>
      <c r="D482" s="16"/>
      <c r="E482" s="13"/>
    </row>
    <row r="483">
      <c r="B483" s="16"/>
      <c r="C483" s="16"/>
      <c r="D483" s="16"/>
      <c r="E483" s="13"/>
    </row>
    <row r="484">
      <c r="B484" s="16"/>
      <c r="C484" s="16"/>
      <c r="D484" s="16"/>
      <c r="E484" s="13"/>
    </row>
    <row r="485">
      <c r="B485" s="16"/>
      <c r="C485" s="16"/>
      <c r="D485" s="16"/>
      <c r="E485" s="13"/>
    </row>
    <row r="486">
      <c r="B486" s="16"/>
      <c r="C486" s="16"/>
      <c r="D486" s="16"/>
      <c r="E486" s="13"/>
    </row>
    <row r="487">
      <c r="B487" s="16"/>
      <c r="C487" s="16"/>
      <c r="D487" s="16"/>
      <c r="E487" s="13"/>
    </row>
    <row r="488">
      <c r="B488" s="16"/>
      <c r="C488" s="16"/>
      <c r="D488" s="16"/>
      <c r="E488" s="13"/>
    </row>
    <row r="489">
      <c r="B489" s="16"/>
      <c r="C489" s="16"/>
      <c r="D489" s="16"/>
      <c r="E489" s="13"/>
    </row>
    <row r="490">
      <c r="B490" s="16"/>
      <c r="C490" s="16"/>
      <c r="D490" s="16"/>
      <c r="E490" s="13"/>
    </row>
    <row r="491">
      <c r="B491" s="16"/>
      <c r="C491" s="16"/>
      <c r="D491" s="16"/>
      <c r="E491" s="13"/>
    </row>
    <row r="492">
      <c r="B492" s="16"/>
      <c r="C492" s="16"/>
      <c r="D492" s="16"/>
      <c r="E492" s="13"/>
    </row>
    <row r="493">
      <c r="B493" s="16"/>
      <c r="C493" s="16"/>
      <c r="D493" s="16"/>
      <c r="E493" s="13"/>
    </row>
    <row r="494">
      <c r="B494" s="16"/>
      <c r="C494" s="16"/>
      <c r="D494" s="16"/>
      <c r="E494" s="13"/>
    </row>
    <row r="495">
      <c r="B495" s="16"/>
      <c r="C495" s="16"/>
      <c r="D495" s="16"/>
      <c r="E495" s="13"/>
    </row>
    <row r="496">
      <c r="B496" s="16"/>
      <c r="C496" s="16"/>
      <c r="D496" s="16"/>
      <c r="E496" s="13"/>
    </row>
    <row r="497">
      <c r="B497" s="16"/>
      <c r="C497" s="16"/>
      <c r="D497" s="16"/>
      <c r="E497" s="13"/>
    </row>
    <row r="498">
      <c r="B498" s="16"/>
      <c r="C498" s="16"/>
      <c r="D498" s="16"/>
      <c r="E498" s="13"/>
    </row>
    <row r="499">
      <c r="B499" s="16"/>
      <c r="C499" s="16"/>
      <c r="D499" s="16"/>
      <c r="E499" s="13"/>
    </row>
    <row r="500">
      <c r="B500" s="16"/>
      <c r="C500" s="16"/>
      <c r="D500" s="16"/>
      <c r="E500" s="13"/>
    </row>
    <row r="501">
      <c r="B501" s="16"/>
      <c r="C501" s="16"/>
      <c r="D501" s="16"/>
      <c r="E501" s="13"/>
    </row>
    <row r="502">
      <c r="B502" s="16"/>
      <c r="C502" s="16"/>
      <c r="D502" s="16"/>
      <c r="E502" s="13"/>
    </row>
    <row r="503">
      <c r="B503" s="16"/>
      <c r="C503" s="16"/>
      <c r="D503" s="16"/>
      <c r="E503" s="13"/>
    </row>
    <row r="504">
      <c r="B504" s="16"/>
      <c r="C504" s="16"/>
      <c r="D504" s="16"/>
      <c r="E504" s="13"/>
    </row>
    <row r="505">
      <c r="B505" s="16"/>
      <c r="C505" s="16"/>
      <c r="D505" s="16"/>
      <c r="E505" s="13"/>
    </row>
    <row r="506">
      <c r="B506" s="16"/>
      <c r="C506" s="16"/>
      <c r="D506" s="16"/>
      <c r="E506" s="13"/>
    </row>
    <row r="507">
      <c r="B507" s="16"/>
      <c r="C507" s="16"/>
      <c r="D507" s="16"/>
      <c r="E507" s="13"/>
    </row>
    <row r="508">
      <c r="B508" s="16"/>
      <c r="C508" s="16"/>
      <c r="D508" s="16"/>
      <c r="E508" s="13"/>
    </row>
    <row r="509">
      <c r="B509" s="16"/>
      <c r="C509" s="16"/>
      <c r="D509" s="16"/>
      <c r="E509" s="13"/>
    </row>
    <row r="510">
      <c r="B510" s="16"/>
      <c r="C510" s="16"/>
      <c r="D510" s="16"/>
      <c r="E510" s="13"/>
    </row>
    <row r="511">
      <c r="B511" s="16"/>
      <c r="C511" s="16"/>
      <c r="D511" s="16"/>
      <c r="E511" s="13"/>
    </row>
    <row r="512">
      <c r="B512" s="16"/>
      <c r="C512" s="16"/>
      <c r="D512" s="16"/>
      <c r="E512" s="13"/>
    </row>
    <row r="513">
      <c r="B513" s="16"/>
      <c r="C513" s="16"/>
      <c r="D513" s="16"/>
      <c r="E513" s="13"/>
    </row>
    <row r="514">
      <c r="B514" s="16"/>
      <c r="C514" s="16"/>
      <c r="D514" s="16"/>
      <c r="E514" s="13"/>
    </row>
    <row r="515">
      <c r="B515" s="16"/>
      <c r="C515" s="16"/>
      <c r="D515" s="16"/>
      <c r="E515" s="13"/>
    </row>
    <row r="516">
      <c r="B516" s="16"/>
      <c r="C516" s="16"/>
      <c r="D516" s="16"/>
      <c r="E516" s="13"/>
    </row>
    <row r="517">
      <c r="B517" s="16"/>
      <c r="C517" s="16"/>
      <c r="D517" s="16"/>
      <c r="E517" s="13"/>
    </row>
    <row r="518">
      <c r="B518" s="16"/>
      <c r="C518" s="16"/>
      <c r="D518" s="16"/>
      <c r="E518" s="13"/>
    </row>
    <row r="519">
      <c r="B519" s="16"/>
      <c r="C519" s="16"/>
      <c r="D519" s="16"/>
      <c r="E519" s="13"/>
    </row>
    <row r="520">
      <c r="B520" s="16"/>
      <c r="C520" s="16"/>
      <c r="D520" s="16"/>
      <c r="E520" s="13"/>
    </row>
    <row r="521">
      <c r="B521" s="16"/>
      <c r="C521" s="16"/>
      <c r="D521" s="16"/>
      <c r="E521" s="13"/>
    </row>
    <row r="522">
      <c r="B522" s="16"/>
      <c r="C522" s="16"/>
      <c r="D522" s="16"/>
      <c r="E522" s="13"/>
    </row>
    <row r="523">
      <c r="B523" s="16"/>
      <c r="C523" s="16"/>
      <c r="D523" s="16"/>
      <c r="E523" s="13"/>
    </row>
    <row r="524">
      <c r="B524" s="16"/>
      <c r="C524" s="16"/>
      <c r="D524" s="16"/>
      <c r="E524" s="13"/>
    </row>
    <row r="525">
      <c r="B525" s="16"/>
      <c r="C525" s="16"/>
      <c r="D525" s="16"/>
      <c r="E525" s="13"/>
    </row>
    <row r="526">
      <c r="B526" s="16"/>
      <c r="C526" s="16"/>
      <c r="D526" s="16"/>
      <c r="E526" s="13"/>
    </row>
    <row r="527">
      <c r="B527" s="16"/>
      <c r="C527" s="16"/>
      <c r="D527" s="16"/>
      <c r="E527" s="13"/>
    </row>
    <row r="528">
      <c r="B528" s="16"/>
      <c r="C528" s="16"/>
      <c r="D528" s="16"/>
      <c r="E528" s="13"/>
    </row>
    <row r="529">
      <c r="B529" s="16"/>
      <c r="C529" s="16"/>
      <c r="D529" s="16"/>
      <c r="E529" s="13"/>
    </row>
    <row r="530">
      <c r="B530" s="16"/>
      <c r="C530" s="16"/>
      <c r="D530" s="16"/>
      <c r="E530" s="13"/>
    </row>
    <row r="531">
      <c r="B531" s="16"/>
      <c r="C531" s="16"/>
      <c r="D531" s="16"/>
      <c r="E531" s="13"/>
    </row>
    <row r="532">
      <c r="B532" s="16"/>
      <c r="C532" s="16"/>
      <c r="D532" s="16"/>
      <c r="E532" s="13"/>
    </row>
    <row r="533">
      <c r="B533" s="16"/>
      <c r="C533" s="16"/>
      <c r="D533" s="16"/>
      <c r="E533" s="13"/>
    </row>
    <row r="534">
      <c r="B534" s="16"/>
      <c r="C534" s="16"/>
      <c r="D534" s="16"/>
      <c r="E534" s="13"/>
    </row>
    <row r="535">
      <c r="B535" s="16"/>
      <c r="C535" s="16"/>
      <c r="D535" s="16"/>
      <c r="E535" s="13"/>
    </row>
    <row r="536">
      <c r="B536" s="16"/>
      <c r="C536" s="16"/>
      <c r="D536" s="16"/>
      <c r="E536" s="13"/>
    </row>
    <row r="537">
      <c r="B537" s="16"/>
      <c r="C537" s="16"/>
      <c r="D537" s="16"/>
      <c r="E537" s="13"/>
    </row>
    <row r="538">
      <c r="B538" s="16"/>
      <c r="C538" s="16"/>
      <c r="D538" s="16"/>
      <c r="E538" s="13"/>
    </row>
    <row r="539">
      <c r="B539" s="16"/>
      <c r="C539" s="16"/>
      <c r="D539" s="16"/>
      <c r="E539" s="13"/>
    </row>
    <row r="540">
      <c r="B540" s="16"/>
      <c r="C540" s="16"/>
      <c r="D540" s="16"/>
      <c r="E540" s="13"/>
    </row>
    <row r="541">
      <c r="B541" s="16"/>
      <c r="C541" s="16"/>
      <c r="D541" s="16"/>
      <c r="E541" s="13"/>
    </row>
    <row r="542">
      <c r="B542" s="16"/>
      <c r="C542" s="16"/>
      <c r="D542" s="16"/>
      <c r="E542" s="13"/>
    </row>
    <row r="543">
      <c r="B543" s="16"/>
      <c r="C543" s="16"/>
      <c r="D543" s="16"/>
      <c r="E543" s="13"/>
    </row>
    <row r="544">
      <c r="B544" s="16"/>
      <c r="C544" s="16"/>
      <c r="D544" s="16"/>
      <c r="E544" s="13"/>
    </row>
    <row r="545">
      <c r="B545" s="16"/>
      <c r="C545" s="16"/>
      <c r="D545" s="16"/>
      <c r="E545" s="13"/>
    </row>
    <row r="546">
      <c r="B546" s="16"/>
      <c r="C546" s="16"/>
      <c r="D546" s="16"/>
      <c r="E546" s="13"/>
    </row>
    <row r="547">
      <c r="B547" s="16"/>
      <c r="C547" s="16"/>
      <c r="D547" s="16"/>
      <c r="E547" s="13"/>
    </row>
    <row r="548">
      <c r="B548" s="16"/>
      <c r="C548" s="16"/>
      <c r="D548" s="16"/>
      <c r="E548" s="13"/>
    </row>
    <row r="549">
      <c r="B549" s="16"/>
      <c r="C549" s="16"/>
      <c r="D549" s="16"/>
      <c r="E549" s="13"/>
    </row>
    <row r="550">
      <c r="B550" s="16"/>
      <c r="C550" s="16"/>
      <c r="D550" s="16"/>
      <c r="E550" s="13"/>
    </row>
    <row r="551">
      <c r="B551" s="16"/>
      <c r="C551" s="16"/>
      <c r="D551" s="16"/>
      <c r="E551" s="13"/>
    </row>
    <row r="552">
      <c r="B552" s="16"/>
      <c r="C552" s="16"/>
      <c r="D552" s="16"/>
      <c r="E552" s="13"/>
    </row>
    <row r="553">
      <c r="B553" s="16"/>
      <c r="C553" s="16"/>
      <c r="D553" s="16"/>
      <c r="E553" s="13"/>
    </row>
    <row r="554">
      <c r="B554" s="16"/>
      <c r="C554" s="16"/>
      <c r="D554" s="16"/>
      <c r="E554" s="13"/>
    </row>
    <row r="555">
      <c r="B555" s="16"/>
      <c r="C555" s="16"/>
      <c r="D555" s="16"/>
      <c r="E555" s="13"/>
    </row>
    <row r="556">
      <c r="B556" s="16"/>
      <c r="C556" s="16"/>
      <c r="D556" s="16"/>
      <c r="E556" s="13"/>
    </row>
    <row r="557">
      <c r="B557" s="16"/>
      <c r="C557" s="16"/>
      <c r="D557" s="16"/>
      <c r="E557" s="13"/>
    </row>
    <row r="558">
      <c r="B558" s="16"/>
      <c r="C558" s="16"/>
      <c r="D558" s="16"/>
      <c r="E558" s="13"/>
    </row>
    <row r="559">
      <c r="B559" s="16"/>
      <c r="C559" s="16"/>
      <c r="D559" s="16"/>
      <c r="E559" s="13"/>
    </row>
    <row r="560">
      <c r="B560" s="16"/>
      <c r="C560" s="16"/>
      <c r="D560" s="16"/>
      <c r="E560" s="13"/>
    </row>
    <row r="561">
      <c r="B561" s="16"/>
      <c r="C561" s="16"/>
      <c r="D561" s="16"/>
      <c r="E561" s="13"/>
    </row>
    <row r="562">
      <c r="B562" s="16"/>
      <c r="C562" s="16"/>
      <c r="D562" s="16"/>
      <c r="E562" s="13"/>
    </row>
    <row r="563">
      <c r="B563" s="16"/>
      <c r="C563" s="16"/>
      <c r="D563" s="16"/>
      <c r="E563" s="13"/>
    </row>
    <row r="564">
      <c r="B564" s="16"/>
      <c r="C564" s="16"/>
      <c r="D564" s="16"/>
      <c r="E564" s="13"/>
    </row>
    <row r="565">
      <c r="B565" s="16"/>
      <c r="C565" s="16"/>
      <c r="D565" s="16"/>
      <c r="E565" s="13"/>
    </row>
    <row r="566">
      <c r="B566" s="16"/>
      <c r="C566" s="16"/>
      <c r="D566" s="16"/>
      <c r="E566" s="13"/>
    </row>
    <row r="567">
      <c r="B567" s="16"/>
      <c r="C567" s="16"/>
      <c r="D567" s="16"/>
      <c r="E567" s="13"/>
    </row>
    <row r="568">
      <c r="B568" s="16"/>
      <c r="C568" s="16"/>
      <c r="D568" s="16"/>
      <c r="E568" s="13"/>
    </row>
    <row r="569">
      <c r="B569" s="16"/>
      <c r="C569" s="16"/>
      <c r="D569" s="16"/>
      <c r="E569" s="13"/>
    </row>
    <row r="570">
      <c r="B570" s="16"/>
      <c r="C570" s="16"/>
      <c r="D570" s="16"/>
      <c r="E570" s="13"/>
    </row>
    <row r="571">
      <c r="B571" s="16"/>
      <c r="C571" s="16"/>
      <c r="D571" s="16"/>
      <c r="E571" s="13"/>
    </row>
    <row r="572">
      <c r="B572" s="16"/>
      <c r="C572" s="16"/>
      <c r="D572" s="16"/>
      <c r="E572" s="13"/>
    </row>
    <row r="573">
      <c r="B573" s="16"/>
      <c r="C573" s="16"/>
      <c r="D573" s="16"/>
      <c r="E573" s="13"/>
    </row>
    <row r="574">
      <c r="B574" s="16"/>
      <c r="C574" s="16"/>
      <c r="D574" s="16"/>
      <c r="E574" s="13"/>
    </row>
    <row r="575">
      <c r="B575" s="16"/>
      <c r="C575" s="16"/>
      <c r="D575" s="16"/>
      <c r="E575" s="13"/>
    </row>
    <row r="576">
      <c r="B576" s="16"/>
      <c r="C576" s="16"/>
      <c r="D576" s="16"/>
      <c r="E576" s="13"/>
    </row>
    <row r="577">
      <c r="B577" s="16"/>
      <c r="C577" s="16"/>
      <c r="D577" s="16"/>
      <c r="E577" s="13"/>
    </row>
    <row r="578">
      <c r="B578" s="16"/>
      <c r="C578" s="16"/>
      <c r="D578" s="16"/>
      <c r="E578" s="13"/>
    </row>
    <row r="579">
      <c r="B579" s="16"/>
      <c r="C579" s="16"/>
      <c r="D579" s="16"/>
      <c r="E579" s="13"/>
    </row>
    <row r="580">
      <c r="B580" s="16"/>
      <c r="C580" s="16"/>
      <c r="D580" s="16"/>
      <c r="E580" s="13"/>
    </row>
    <row r="581">
      <c r="B581" s="16"/>
      <c r="C581" s="16"/>
      <c r="D581" s="16"/>
      <c r="E581" s="13"/>
    </row>
    <row r="582">
      <c r="B582" s="16"/>
      <c r="C582" s="16"/>
      <c r="D582" s="16"/>
      <c r="E582" s="13"/>
    </row>
    <row r="583">
      <c r="B583" s="16"/>
      <c r="C583" s="16"/>
      <c r="D583" s="16"/>
      <c r="E583" s="13"/>
    </row>
    <row r="584">
      <c r="B584" s="16"/>
      <c r="C584" s="16"/>
      <c r="D584" s="16"/>
      <c r="E584" s="13"/>
    </row>
    <row r="585">
      <c r="B585" s="16"/>
      <c r="C585" s="16"/>
      <c r="D585" s="16"/>
      <c r="E585" s="13"/>
    </row>
    <row r="586">
      <c r="B586" s="16"/>
      <c r="C586" s="16"/>
      <c r="D586" s="16"/>
      <c r="E586" s="13"/>
    </row>
    <row r="587">
      <c r="B587" s="16"/>
      <c r="C587" s="16"/>
      <c r="D587" s="16"/>
      <c r="E587" s="13"/>
    </row>
    <row r="588">
      <c r="B588" s="16"/>
      <c r="C588" s="16"/>
      <c r="D588" s="16"/>
      <c r="E588" s="13"/>
    </row>
    <row r="589">
      <c r="B589" s="16"/>
      <c r="C589" s="16"/>
      <c r="D589" s="16"/>
      <c r="E589" s="13"/>
    </row>
    <row r="590">
      <c r="B590" s="16"/>
      <c r="C590" s="16"/>
      <c r="D590" s="16"/>
      <c r="E590" s="13"/>
    </row>
    <row r="591">
      <c r="B591" s="16"/>
      <c r="C591" s="16"/>
      <c r="D591" s="16"/>
      <c r="E591" s="13"/>
    </row>
    <row r="592">
      <c r="B592" s="16"/>
      <c r="C592" s="16"/>
      <c r="D592" s="16"/>
      <c r="E592" s="13"/>
    </row>
    <row r="593">
      <c r="B593" s="16"/>
      <c r="C593" s="16"/>
      <c r="D593" s="16"/>
      <c r="E593" s="13"/>
    </row>
    <row r="594">
      <c r="B594" s="16"/>
      <c r="C594" s="16"/>
      <c r="D594" s="16"/>
      <c r="E594" s="13"/>
    </row>
    <row r="595">
      <c r="B595" s="16"/>
      <c r="C595" s="16"/>
      <c r="D595" s="16"/>
      <c r="E595" s="13"/>
    </row>
    <row r="596">
      <c r="B596" s="16"/>
      <c r="C596" s="16"/>
      <c r="D596" s="16"/>
      <c r="E596" s="13"/>
    </row>
    <row r="597">
      <c r="B597" s="16"/>
      <c r="C597" s="16"/>
      <c r="D597" s="16"/>
      <c r="E597" s="13"/>
    </row>
    <row r="598">
      <c r="B598" s="16"/>
      <c r="C598" s="16"/>
      <c r="D598" s="16"/>
      <c r="E598" s="13"/>
    </row>
    <row r="599">
      <c r="B599" s="16"/>
      <c r="C599" s="16"/>
      <c r="D599" s="16"/>
      <c r="E599" s="13"/>
    </row>
    <row r="600">
      <c r="B600" s="16"/>
      <c r="C600" s="16"/>
      <c r="D600" s="16"/>
      <c r="E600" s="13"/>
    </row>
    <row r="601">
      <c r="B601" s="16"/>
      <c r="C601" s="16"/>
      <c r="D601" s="16"/>
      <c r="E601" s="13"/>
    </row>
    <row r="602">
      <c r="B602" s="16"/>
      <c r="C602" s="16"/>
      <c r="D602" s="16"/>
      <c r="E602" s="13"/>
    </row>
    <row r="603">
      <c r="B603" s="16"/>
      <c r="C603" s="16"/>
      <c r="D603" s="16"/>
      <c r="E603" s="13"/>
    </row>
    <row r="604">
      <c r="B604" s="16"/>
      <c r="C604" s="16"/>
      <c r="D604" s="16"/>
      <c r="E604" s="13"/>
    </row>
    <row r="605">
      <c r="B605" s="16"/>
      <c r="C605" s="16"/>
      <c r="D605" s="16"/>
      <c r="E605" s="13"/>
    </row>
    <row r="606">
      <c r="B606" s="16"/>
      <c r="C606" s="16"/>
      <c r="D606" s="16"/>
      <c r="E606" s="13"/>
    </row>
    <row r="607">
      <c r="B607" s="16"/>
      <c r="C607" s="16"/>
      <c r="D607" s="16"/>
      <c r="E607" s="13"/>
    </row>
    <row r="608">
      <c r="B608" s="16"/>
      <c r="C608" s="16"/>
      <c r="D608" s="16"/>
      <c r="E608" s="13"/>
    </row>
    <row r="609">
      <c r="B609" s="16"/>
      <c r="C609" s="16"/>
      <c r="D609" s="16"/>
      <c r="E609" s="13"/>
    </row>
    <row r="610">
      <c r="B610" s="16"/>
      <c r="C610" s="16"/>
      <c r="D610" s="16"/>
      <c r="E610" s="13"/>
    </row>
    <row r="611">
      <c r="B611" s="16"/>
      <c r="C611" s="16"/>
      <c r="D611" s="16"/>
      <c r="E611" s="13"/>
    </row>
    <row r="612">
      <c r="B612" s="16"/>
      <c r="C612" s="16"/>
      <c r="D612" s="16"/>
      <c r="E612" s="13"/>
    </row>
    <row r="613">
      <c r="B613" s="16"/>
      <c r="C613" s="16"/>
      <c r="D613" s="16"/>
      <c r="E613" s="13"/>
    </row>
    <row r="614">
      <c r="B614" s="16"/>
      <c r="C614" s="16"/>
      <c r="D614" s="16"/>
      <c r="E614" s="13"/>
    </row>
    <row r="615">
      <c r="B615" s="16"/>
      <c r="C615" s="16"/>
      <c r="D615" s="16"/>
      <c r="E615" s="13"/>
    </row>
    <row r="616">
      <c r="B616" s="16"/>
      <c r="C616" s="16"/>
      <c r="D616" s="16"/>
      <c r="E616" s="13"/>
    </row>
    <row r="617">
      <c r="B617" s="16"/>
      <c r="C617" s="16"/>
      <c r="D617" s="16"/>
      <c r="E617" s="13"/>
    </row>
    <row r="618">
      <c r="B618" s="16"/>
      <c r="C618" s="16"/>
      <c r="D618" s="16"/>
      <c r="E618" s="13"/>
    </row>
    <row r="619">
      <c r="B619" s="16"/>
      <c r="C619" s="16"/>
      <c r="D619" s="16"/>
      <c r="E619" s="13"/>
    </row>
    <row r="620">
      <c r="B620" s="16"/>
      <c r="C620" s="16"/>
      <c r="D620" s="16"/>
      <c r="E620" s="13"/>
    </row>
    <row r="621">
      <c r="B621" s="16"/>
      <c r="C621" s="16"/>
      <c r="D621" s="16"/>
      <c r="E621" s="13"/>
    </row>
    <row r="622">
      <c r="B622" s="16"/>
      <c r="C622" s="16"/>
      <c r="D622" s="16"/>
      <c r="E622" s="13"/>
    </row>
    <row r="623">
      <c r="B623" s="16"/>
      <c r="C623" s="16"/>
      <c r="D623" s="16"/>
      <c r="E623" s="13"/>
    </row>
    <row r="624">
      <c r="B624" s="16"/>
      <c r="C624" s="16"/>
      <c r="D624" s="16"/>
      <c r="E624" s="13"/>
    </row>
    <row r="625">
      <c r="B625" s="16"/>
      <c r="C625" s="16"/>
      <c r="D625" s="16"/>
      <c r="E625" s="13"/>
    </row>
    <row r="626">
      <c r="B626" s="16"/>
      <c r="C626" s="16"/>
      <c r="D626" s="16"/>
      <c r="E626" s="13"/>
    </row>
    <row r="627">
      <c r="B627" s="16"/>
      <c r="C627" s="16"/>
      <c r="D627" s="16"/>
      <c r="E627" s="13"/>
    </row>
    <row r="628">
      <c r="B628" s="16"/>
      <c r="C628" s="16"/>
      <c r="D628" s="16"/>
      <c r="E628" s="13"/>
    </row>
    <row r="629">
      <c r="B629" s="16"/>
      <c r="C629" s="16"/>
      <c r="D629" s="16"/>
      <c r="E629" s="13"/>
    </row>
    <row r="630">
      <c r="B630" s="16"/>
      <c r="C630" s="16"/>
      <c r="D630" s="16"/>
      <c r="E630" s="13"/>
    </row>
    <row r="631">
      <c r="B631" s="16"/>
      <c r="C631" s="16"/>
      <c r="D631" s="16"/>
      <c r="E631" s="13"/>
    </row>
    <row r="632">
      <c r="B632" s="16"/>
      <c r="C632" s="16"/>
      <c r="D632" s="16"/>
      <c r="E632" s="13"/>
    </row>
    <row r="633">
      <c r="B633" s="16"/>
      <c r="C633" s="16"/>
      <c r="D633" s="16"/>
      <c r="E633" s="13"/>
    </row>
    <row r="634">
      <c r="B634" s="16"/>
      <c r="C634" s="16"/>
      <c r="D634" s="16"/>
      <c r="E634" s="13"/>
    </row>
    <row r="635">
      <c r="B635" s="16"/>
      <c r="C635" s="16"/>
      <c r="D635" s="16"/>
      <c r="E635" s="13"/>
    </row>
    <row r="636">
      <c r="B636" s="16"/>
      <c r="C636" s="16"/>
      <c r="D636" s="16"/>
      <c r="E636" s="13"/>
    </row>
    <row r="637">
      <c r="B637" s="16"/>
      <c r="C637" s="16"/>
      <c r="D637" s="16"/>
      <c r="E637" s="13"/>
    </row>
    <row r="638">
      <c r="B638" s="16"/>
      <c r="C638" s="16"/>
      <c r="D638" s="16"/>
      <c r="E638" s="13"/>
    </row>
    <row r="639">
      <c r="B639" s="16"/>
      <c r="C639" s="16"/>
      <c r="D639" s="16"/>
      <c r="E639" s="13"/>
    </row>
    <row r="640">
      <c r="B640" s="16"/>
      <c r="C640" s="16"/>
      <c r="D640" s="16"/>
      <c r="E640" s="13"/>
    </row>
    <row r="641">
      <c r="B641" s="16"/>
      <c r="C641" s="16"/>
      <c r="D641" s="16"/>
      <c r="E641" s="13"/>
    </row>
    <row r="642">
      <c r="B642" s="16"/>
      <c r="C642" s="16"/>
      <c r="D642" s="16"/>
      <c r="E642" s="13"/>
    </row>
    <row r="643">
      <c r="B643" s="16"/>
      <c r="C643" s="16"/>
      <c r="D643" s="16"/>
      <c r="E643" s="13"/>
    </row>
    <row r="644">
      <c r="B644" s="16"/>
      <c r="C644" s="16"/>
      <c r="D644" s="16"/>
      <c r="E644" s="13"/>
    </row>
    <row r="645">
      <c r="B645" s="16"/>
      <c r="C645" s="16"/>
      <c r="D645" s="16"/>
      <c r="E645" s="13"/>
    </row>
    <row r="646">
      <c r="B646" s="16"/>
      <c r="C646" s="16"/>
      <c r="D646" s="16"/>
      <c r="E646" s="13"/>
    </row>
    <row r="647">
      <c r="B647" s="16"/>
      <c r="C647" s="16"/>
      <c r="D647" s="16"/>
      <c r="E647" s="13"/>
    </row>
    <row r="648">
      <c r="B648" s="16"/>
      <c r="C648" s="16"/>
      <c r="D648" s="16"/>
      <c r="E648" s="13"/>
    </row>
    <row r="649">
      <c r="B649" s="16"/>
      <c r="C649" s="16"/>
      <c r="D649" s="16"/>
      <c r="E649" s="13"/>
    </row>
    <row r="650">
      <c r="B650" s="16"/>
      <c r="C650" s="16"/>
      <c r="D650" s="16"/>
      <c r="E650" s="13"/>
    </row>
    <row r="651">
      <c r="B651" s="16"/>
      <c r="C651" s="16"/>
      <c r="D651" s="16"/>
      <c r="E651" s="13"/>
    </row>
    <row r="652">
      <c r="B652" s="16"/>
      <c r="C652" s="16"/>
      <c r="D652" s="16"/>
      <c r="E652" s="13"/>
    </row>
    <row r="653">
      <c r="B653" s="16"/>
      <c r="C653" s="16"/>
      <c r="D653" s="16"/>
      <c r="E653" s="13"/>
    </row>
    <row r="654">
      <c r="B654" s="16"/>
      <c r="C654" s="16"/>
      <c r="D654" s="16"/>
      <c r="E654" s="13"/>
    </row>
    <row r="655">
      <c r="B655" s="16"/>
      <c r="C655" s="16"/>
      <c r="D655" s="16"/>
      <c r="E655" s="13"/>
    </row>
    <row r="656">
      <c r="B656" s="16"/>
      <c r="C656" s="16"/>
      <c r="D656" s="16"/>
      <c r="E656" s="13"/>
    </row>
    <row r="657">
      <c r="B657" s="16"/>
      <c r="C657" s="16"/>
      <c r="D657" s="16"/>
      <c r="E657" s="13"/>
    </row>
    <row r="658">
      <c r="B658" s="16"/>
      <c r="C658" s="16"/>
      <c r="D658" s="16"/>
      <c r="E658" s="13"/>
    </row>
    <row r="659">
      <c r="B659" s="16"/>
      <c r="C659" s="16"/>
      <c r="D659" s="16"/>
      <c r="E659" s="13"/>
    </row>
    <row r="660">
      <c r="B660" s="16"/>
      <c r="C660" s="16"/>
      <c r="D660" s="16"/>
      <c r="E660" s="13"/>
    </row>
    <row r="661">
      <c r="B661" s="16"/>
      <c r="C661" s="16"/>
      <c r="D661" s="16"/>
      <c r="E661" s="13"/>
    </row>
    <row r="662">
      <c r="B662" s="16"/>
      <c r="C662" s="16"/>
      <c r="D662" s="16"/>
      <c r="E662" s="13"/>
    </row>
    <row r="663">
      <c r="B663" s="16"/>
      <c r="C663" s="16"/>
      <c r="D663" s="16"/>
      <c r="E663" s="13"/>
    </row>
    <row r="664">
      <c r="B664" s="16"/>
      <c r="C664" s="16"/>
      <c r="D664" s="16"/>
      <c r="E664" s="13"/>
    </row>
    <row r="665">
      <c r="B665" s="16"/>
      <c r="C665" s="16"/>
      <c r="D665" s="16"/>
      <c r="E665" s="13"/>
    </row>
    <row r="666">
      <c r="B666" s="16"/>
      <c r="C666" s="16"/>
      <c r="D666" s="16"/>
      <c r="E666" s="13"/>
    </row>
    <row r="667">
      <c r="B667" s="16"/>
      <c r="C667" s="16"/>
      <c r="D667" s="16"/>
      <c r="E667" s="13"/>
    </row>
    <row r="668">
      <c r="B668" s="16"/>
      <c r="C668" s="16"/>
      <c r="D668" s="16"/>
      <c r="E668" s="13"/>
    </row>
    <row r="669">
      <c r="B669" s="16"/>
      <c r="C669" s="16"/>
      <c r="D669" s="16"/>
      <c r="E669" s="13"/>
    </row>
    <row r="670">
      <c r="B670" s="16"/>
      <c r="C670" s="16"/>
      <c r="D670" s="16"/>
      <c r="E670" s="13"/>
    </row>
    <row r="671">
      <c r="B671" s="16"/>
      <c r="C671" s="16"/>
      <c r="D671" s="16"/>
      <c r="E671" s="13"/>
    </row>
    <row r="672">
      <c r="B672" s="16"/>
      <c r="C672" s="16"/>
      <c r="D672" s="16"/>
      <c r="E672" s="13"/>
    </row>
    <row r="673">
      <c r="B673" s="16"/>
      <c r="C673" s="16"/>
      <c r="D673" s="16"/>
      <c r="E673" s="13"/>
    </row>
    <row r="674">
      <c r="B674" s="16"/>
      <c r="C674" s="16"/>
      <c r="D674" s="16"/>
      <c r="E674" s="13"/>
    </row>
    <row r="675">
      <c r="B675" s="16"/>
      <c r="C675" s="16"/>
      <c r="D675" s="16"/>
      <c r="E675" s="13"/>
    </row>
    <row r="676">
      <c r="B676" s="16"/>
      <c r="C676" s="16"/>
      <c r="D676" s="16"/>
      <c r="E676" s="13"/>
    </row>
    <row r="677">
      <c r="B677" s="16"/>
      <c r="C677" s="16"/>
      <c r="D677" s="16"/>
      <c r="E677" s="13"/>
    </row>
    <row r="678">
      <c r="B678" s="16"/>
      <c r="C678" s="16"/>
      <c r="D678" s="16"/>
      <c r="E678" s="13"/>
    </row>
    <row r="679">
      <c r="B679" s="16"/>
      <c r="C679" s="16"/>
      <c r="D679" s="16"/>
      <c r="E679" s="13"/>
    </row>
    <row r="680">
      <c r="B680" s="16"/>
      <c r="C680" s="16"/>
      <c r="D680" s="16"/>
      <c r="E680" s="13"/>
    </row>
    <row r="681">
      <c r="B681" s="16"/>
      <c r="C681" s="16"/>
      <c r="D681" s="16"/>
      <c r="E681" s="13"/>
    </row>
    <row r="682">
      <c r="B682" s="16"/>
      <c r="C682" s="16"/>
      <c r="D682" s="16"/>
      <c r="E682" s="13"/>
    </row>
    <row r="683">
      <c r="B683" s="16"/>
      <c r="C683" s="16"/>
      <c r="D683" s="16"/>
      <c r="E683" s="13"/>
    </row>
    <row r="684">
      <c r="B684" s="16"/>
      <c r="C684" s="16"/>
      <c r="D684" s="16"/>
      <c r="E684" s="13"/>
    </row>
    <row r="685">
      <c r="B685" s="16"/>
      <c r="C685" s="16"/>
      <c r="D685" s="16"/>
      <c r="E685" s="13"/>
    </row>
    <row r="686">
      <c r="B686" s="16"/>
      <c r="C686" s="16"/>
      <c r="D686" s="16"/>
      <c r="E686" s="13"/>
    </row>
    <row r="687">
      <c r="B687" s="16"/>
      <c r="C687" s="16"/>
      <c r="D687" s="16"/>
      <c r="E687" s="13"/>
    </row>
    <row r="688">
      <c r="B688" s="16"/>
      <c r="C688" s="16"/>
      <c r="D688" s="16"/>
      <c r="E688" s="13"/>
    </row>
    <row r="689">
      <c r="B689" s="16"/>
      <c r="C689" s="16"/>
      <c r="D689" s="16"/>
      <c r="E689" s="13"/>
    </row>
    <row r="690">
      <c r="B690" s="16"/>
      <c r="C690" s="16"/>
      <c r="D690" s="16"/>
      <c r="E690" s="13"/>
    </row>
    <row r="691">
      <c r="B691" s="16"/>
      <c r="C691" s="16"/>
      <c r="D691" s="16"/>
      <c r="E691" s="13"/>
    </row>
    <row r="692">
      <c r="B692" s="16"/>
      <c r="C692" s="16"/>
      <c r="D692" s="16"/>
      <c r="E692" s="13"/>
    </row>
    <row r="693">
      <c r="B693" s="16"/>
      <c r="C693" s="16"/>
      <c r="D693" s="16"/>
      <c r="E693" s="13"/>
    </row>
    <row r="694">
      <c r="B694" s="16"/>
      <c r="C694" s="16"/>
      <c r="D694" s="16"/>
      <c r="E694" s="13"/>
    </row>
    <row r="695">
      <c r="B695" s="16"/>
      <c r="C695" s="16"/>
      <c r="D695" s="16"/>
      <c r="E695" s="13"/>
    </row>
    <row r="696">
      <c r="B696" s="16"/>
      <c r="C696" s="16"/>
      <c r="D696" s="16"/>
      <c r="E696" s="13"/>
    </row>
    <row r="697">
      <c r="B697" s="16"/>
      <c r="C697" s="16"/>
      <c r="D697" s="16"/>
      <c r="E697" s="13"/>
    </row>
    <row r="698">
      <c r="B698" s="16"/>
      <c r="C698" s="16"/>
      <c r="D698" s="16"/>
      <c r="E698" s="13"/>
    </row>
    <row r="699">
      <c r="B699" s="16"/>
      <c r="C699" s="16"/>
      <c r="D699" s="16"/>
      <c r="E699" s="13"/>
    </row>
    <row r="700">
      <c r="B700" s="16"/>
      <c r="C700" s="16"/>
      <c r="D700" s="16"/>
      <c r="E700" s="13"/>
    </row>
    <row r="701">
      <c r="B701" s="16"/>
      <c r="C701" s="16"/>
      <c r="D701" s="16"/>
      <c r="E701" s="13"/>
    </row>
    <row r="702">
      <c r="B702" s="16"/>
      <c r="C702" s="16"/>
      <c r="D702" s="16"/>
      <c r="E702" s="13"/>
    </row>
    <row r="703">
      <c r="B703" s="16"/>
      <c r="C703" s="16"/>
      <c r="D703" s="16"/>
      <c r="E703" s="13"/>
    </row>
    <row r="704">
      <c r="B704" s="16"/>
      <c r="C704" s="16"/>
      <c r="D704" s="16"/>
      <c r="E704" s="13"/>
    </row>
    <row r="705">
      <c r="B705" s="16"/>
      <c r="C705" s="16"/>
      <c r="D705" s="16"/>
      <c r="E705" s="13"/>
    </row>
    <row r="706">
      <c r="B706" s="16"/>
      <c r="C706" s="16"/>
      <c r="D706" s="16"/>
      <c r="E706" s="13"/>
    </row>
    <row r="707">
      <c r="B707" s="16"/>
      <c r="C707" s="16"/>
      <c r="D707" s="16"/>
      <c r="E707" s="13"/>
    </row>
    <row r="708">
      <c r="B708" s="16"/>
      <c r="C708" s="16"/>
      <c r="D708" s="16"/>
      <c r="E708" s="13"/>
    </row>
    <row r="709">
      <c r="B709" s="16"/>
      <c r="C709" s="16"/>
      <c r="D709" s="16"/>
      <c r="E709" s="13"/>
    </row>
    <row r="710">
      <c r="B710" s="16"/>
      <c r="C710" s="16"/>
      <c r="D710" s="16"/>
      <c r="E710" s="13"/>
    </row>
    <row r="711">
      <c r="B711" s="16"/>
      <c r="C711" s="16"/>
      <c r="D711" s="16"/>
      <c r="E711" s="13"/>
    </row>
    <row r="712">
      <c r="B712" s="16"/>
      <c r="C712" s="16"/>
      <c r="D712" s="16"/>
      <c r="E712" s="13"/>
    </row>
    <row r="713">
      <c r="B713" s="16"/>
      <c r="C713" s="16"/>
      <c r="D713" s="16"/>
      <c r="E713" s="13"/>
    </row>
    <row r="714">
      <c r="B714" s="16"/>
      <c r="C714" s="16"/>
      <c r="D714" s="16"/>
      <c r="E714" s="13"/>
    </row>
    <row r="715">
      <c r="B715" s="16"/>
      <c r="C715" s="16"/>
      <c r="D715" s="16"/>
      <c r="E715" s="13"/>
    </row>
    <row r="716">
      <c r="B716" s="16"/>
      <c r="C716" s="16"/>
      <c r="D716" s="16"/>
      <c r="E716" s="13"/>
    </row>
    <row r="717">
      <c r="B717" s="16"/>
      <c r="C717" s="16"/>
      <c r="D717" s="16"/>
      <c r="E717" s="13"/>
    </row>
    <row r="718">
      <c r="B718" s="16"/>
      <c r="C718" s="16"/>
      <c r="D718" s="16"/>
      <c r="E718" s="13"/>
    </row>
    <row r="719">
      <c r="B719" s="16"/>
      <c r="C719" s="16"/>
      <c r="D719" s="16"/>
      <c r="E719" s="13"/>
    </row>
    <row r="720">
      <c r="B720" s="16"/>
      <c r="C720" s="16"/>
      <c r="D720" s="16"/>
      <c r="E720" s="13"/>
    </row>
    <row r="721">
      <c r="B721" s="16"/>
      <c r="C721" s="16"/>
      <c r="D721" s="16"/>
      <c r="E721" s="13"/>
    </row>
    <row r="722">
      <c r="B722" s="16"/>
      <c r="C722" s="16"/>
      <c r="D722" s="16"/>
      <c r="E722" s="13"/>
    </row>
    <row r="723">
      <c r="B723" s="16"/>
      <c r="C723" s="16"/>
      <c r="D723" s="16"/>
      <c r="E723" s="13"/>
    </row>
    <row r="724">
      <c r="B724" s="16"/>
      <c r="C724" s="16"/>
      <c r="D724" s="16"/>
      <c r="E724" s="13"/>
    </row>
    <row r="725">
      <c r="B725" s="16"/>
      <c r="C725" s="16"/>
      <c r="D725" s="16"/>
      <c r="E725" s="13"/>
    </row>
    <row r="726">
      <c r="B726" s="16"/>
      <c r="C726" s="16"/>
      <c r="D726" s="16"/>
      <c r="E726" s="13"/>
    </row>
    <row r="727">
      <c r="B727" s="16"/>
      <c r="C727" s="16"/>
      <c r="D727" s="16"/>
      <c r="E727" s="13"/>
    </row>
    <row r="728">
      <c r="B728" s="16"/>
      <c r="C728" s="16"/>
      <c r="D728" s="16"/>
      <c r="E728" s="13"/>
    </row>
    <row r="729">
      <c r="B729" s="16"/>
      <c r="C729" s="16"/>
      <c r="D729" s="16"/>
      <c r="E729" s="13"/>
    </row>
    <row r="730">
      <c r="B730" s="16"/>
      <c r="C730" s="16"/>
      <c r="D730" s="16"/>
      <c r="E730" s="13"/>
    </row>
    <row r="731">
      <c r="B731" s="16"/>
      <c r="C731" s="16"/>
      <c r="D731" s="16"/>
      <c r="E731" s="13"/>
    </row>
    <row r="732">
      <c r="B732" s="16"/>
      <c r="C732" s="16"/>
      <c r="D732" s="16"/>
      <c r="E732" s="13"/>
    </row>
    <row r="733">
      <c r="B733" s="16"/>
      <c r="C733" s="16"/>
      <c r="D733" s="16"/>
      <c r="E733" s="13"/>
    </row>
    <row r="734">
      <c r="B734" s="16"/>
      <c r="C734" s="16"/>
      <c r="D734" s="16"/>
      <c r="E734" s="13"/>
    </row>
    <row r="735">
      <c r="B735" s="16"/>
      <c r="C735" s="16"/>
      <c r="D735" s="16"/>
      <c r="E735" s="13"/>
    </row>
    <row r="736">
      <c r="B736" s="16"/>
      <c r="C736" s="16"/>
      <c r="D736" s="16"/>
      <c r="E736" s="13"/>
    </row>
    <row r="737">
      <c r="B737" s="16"/>
      <c r="C737" s="16"/>
      <c r="D737" s="16"/>
      <c r="E737" s="13"/>
    </row>
    <row r="738">
      <c r="B738" s="16"/>
      <c r="C738" s="16"/>
      <c r="D738" s="16"/>
      <c r="E738" s="13"/>
    </row>
    <row r="739">
      <c r="B739" s="16"/>
      <c r="C739" s="16"/>
      <c r="D739" s="16"/>
      <c r="E739" s="13"/>
    </row>
    <row r="740">
      <c r="B740" s="16"/>
      <c r="C740" s="16"/>
      <c r="D740" s="16"/>
      <c r="E740" s="13"/>
    </row>
    <row r="741">
      <c r="B741" s="16"/>
      <c r="C741" s="16"/>
      <c r="D741" s="16"/>
      <c r="E741" s="13"/>
    </row>
    <row r="742">
      <c r="B742" s="16"/>
      <c r="C742" s="16"/>
      <c r="D742" s="16"/>
      <c r="E742" s="13"/>
    </row>
    <row r="743">
      <c r="B743" s="16"/>
      <c r="C743" s="16"/>
      <c r="D743" s="16"/>
      <c r="E743" s="13"/>
    </row>
    <row r="744">
      <c r="B744" s="16"/>
      <c r="C744" s="16"/>
      <c r="D744" s="16"/>
      <c r="E744" s="13"/>
    </row>
    <row r="745">
      <c r="B745" s="16"/>
      <c r="C745" s="16"/>
      <c r="D745" s="16"/>
      <c r="E745" s="13"/>
    </row>
    <row r="746">
      <c r="B746" s="16"/>
      <c r="C746" s="16"/>
      <c r="D746" s="16"/>
      <c r="E746" s="13"/>
    </row>
    <row r="747">
      <c r="B747" s="16"/>
      <c r="C747" s="16"/>
      <c r="D747" s="16"/>
      <c r="E747" s="13"/>
    </row>
    <row r="748">
      <c r="B748" s="16"/>
      <c r="C748" s="16"/>
      <c r="D748" s="16"/>
      <c r="E748" s="13"/>
    </row>
    <row r="749">
      <c r="B749" s="16"/>
      <c r="C749" s="16"/>
      <c r="D749" s="16"/>
      <c r="E749" s="13"/>
    </row>
    <row r="750">
      <c r="B750" s="16"/>
      <c r="C750" s="16"/>
      <c r="D750" s="16"/>
      <c r="E750" s="13"/>
    </row>
    <row r="751">
      <c r="B751" s="16"/>
      <c r="C751" s="16"/>
      <c r="D751" s="16"/>
      <c r="E751" s="13"/>
    </row>
    <row r="752">
      <c r="B752" s="16"/>
      <c r="C752" s="16"/>
      <c r="D752" s="16"/>
      <c r="E752" s="13"/>
    </row>
    <row r="753">
      <c r="B753" s="16"/>
      <c r="C753" s="16"/>
      <c r="D753" s="16"/>
      <c r="E753" s="13"/>
    </row>
    <row r="754">
      <c r="B754" s="16"/>
      <c r="C754" s="16"/>
      <c r="D754" s="16"/>
      <c r="E754" s="13"/>
    </row>
    <row r="755">
      <c r="B755" s="16"/>
      <c r="C755" s="16"/>
      <c r="D755" s="16"/>
      <c r="E755" s="13"/>
    </row>
    <row r="756">
      <c r="B756" s="16"/>
      <c r="C756" s="16"/>
      <c r="D756" s="16"/>
      <c r="E756" s="13"/>
    </row>
    <row r="757">
      <c r="B757" s="16"/>
      <c r="C757" s="16"/>
      <c r="D757" s="16"/>
      <c r="E757" s="13"/>
    </row>
    <row r="758">
      <c r="B758" s="16"/>
      <c r="C758" s="16"/>
      <c r="D758" s="16"/>
      <c r="E758" s="13"/>
    </row>
    <row r="759">
      <c r="B759" s="16"/>
      <c r="C759" s="16"/>
      <c r="D759" s="16"/>
      <c r="E759" s="13"/>
    </row>
    <row r="760">
      <c r="B760" s="16"/>
      <c r="C760" s="16"/>
      <c r="D760" s="16"/>
      <c r="E760" s="13"/>
    </row>
    <row r="761">
      <c r="B761" s="16"/>
      <c r="C761" s="16"/>
      <c r="D761" s="16"/>
      <c r="E761" s="13"/>
    </row>
    <row r="762">
      <c r="B762" s="16"/>
      <c r="C762" s="16"/>
      <c r="D762" s="16"/>
      <c r="E762" s="13"/>
    </row>
    <row r="763">
      <c r="B763" s="16"/>
      <c r="C763" s="16"/>
      <c r="D763" s="16"/>
      <c r="E763" s="13"/>
    </row>
    <row r="764">
      <c r="B764" s="16"/>
      <c r="C764" s="16"/>
      <c r="D764" s="16"/>
      <c r="E764" s="13"/>
    </row>
    <row r="765">
      <c r="B765" s="16"/>
      <c r="C765" s="16"/>
      <c r="D765" s="16"/>
      <c r="E765" s="13"/>
    </row>
    <row r="766">
      <c r="B766" s="16"/>
      <c r="C766" s="16"/>
      <c r="D766" s="16"/>
      <c r="E766" s="13"/>
    </row>
    <row r="767">
      <c r="B767" s="16"/>
      <c r="C767" s="16"/>
      <c r="D767" s="16"/>
      <c r="E767" s="13"/>
    </row>
    <row r="768">
      <c r="B768" s="16"/>
      <c r="C768" s="16"/>
      <c r="D768" s="16"/>
      <c r="E768" s="13"/>
    </row>
    <row r="769">
      <c r="B769" s="16"/>
      <c r="C769" s="16"/>
      <c r="D769" s="16"/>
      <c r="E769" s="13"/>
    </row>
    <row r="770">
      <c r="B770" s="16"/>
      <c r="C770" s="16"/>
      <c r="D770" s="16"/>
      <c r="E770" s="13"/>
    </row>
    <row r="771">
      <c r="B771" s="16"/>
      <c r="C771" s="16"/>
      <c r="D771" s="16"/>
      <c r="E771" s="13"/>
    </row>
    <row r="772">
      <c r="B772" s="16"/>
      <c r="C772" s="16"/>
      <c r="D772" s="16"/>
      <c r="E772" s="13"/>
    </row>
    <row r="773">
      <c r="B773" s="16"/>
      <c r="C773" s="16"/>
      <c r="D773" s="16"/>
      <c r="E773" s="13"/>
    </row>
    <row r="774">
      <c r="B774" s="16"/>
      <c r="C774" s="16"/>
      <c r="D774" s="16"/>
      <c r="E774" s="13"/>
    </row>
    <row r="775">
      <c r="B775" s="16"/>
      <c r="C775" s="16"/>
      <c r="D775" s="16"/>
      <c r="E775" s="13"/>
    </row>
    <row r="776">
      <c r="B776" s="16"/>
      <c r="C776" s="16"/>
      <c r="D776" s="16"/>
      <c r="E776" s="13"/>
    </row>
    <row r="777">
      <c r="B777" s="16"/>
      <c r="C777" s="16"/>
      <c r="D777" s="16"/>
      <c r="E777" s="13"/>
    </row>
    <row r="778">
      <c r="B778" s="16"/>
      <c r="C778" s="16"/>
      <c r="D778" s="16"/>
      <c r="E778" s="13"/>
    </row>
    <row r="779">
      <c r="B779" s="16"/>
      <c r="C779" s="16"/>
      <c r="D779" s="16"/>
      <c r="E779" s="13"/>
    </row>
    <row r="780">
      <c r="B780" s="16"/>
      <c r="C780" s="16"/>
      <c r="D780" s="16"/>
      <c r="E780" s="13"/>
    </row>
    <row r="781">
      <c r="B781" s="16"/>
      <c r="C781" s="16"/>
      <c r="D781" s="16"/>
      <c r="E781" s="13"/>
    </row>
    <row r="782">
      <c r="B782" s="16"/>
      <c r="C782" s="16"/>
      <c r="D782" s="16"/>
      <c r="E782" s="13"/>
    </row>
    <row r="783">
      <c r="B783" s="16"/>
      <c r="C783" s="16"/>
      <c r="D783" s="16"/>
      <c r="E783" s="13"/>
    </row>
    <row r="784">
      <c r="B784" s="16"/>
      <c r="C784" s="16"/>
      <c r="D784" s="16"/>
      <c r="E784" s="13"/>
    </row>
    <row r="785">
      <c r="B785" s="16"/>
      <c r="C785" s="16"/>
      <c r="D785" s="16"/>
      <c r="E785" s="13"/>
    </row>
    <row r="786">
      <c r="B786" s="16"/>
      <c r="C786" s="16"/>
      <c r="D786" s="16"/>
      <c r="E786" s="13"/>
    </row>
    <row r="787">
      <c r="B787" s="16"/>
      <c r="C787" s="16"/>
      <c r="D787" s="16"/>
      <c r="E787" s="13"/>
    </row>
    <row r="788">
      <c r="B788" s="16"/>
      <c r="C788" s="16"/>
      <c r="D788" s="16"/>
      <c r="E788" s="13"/>
    </row>
    <row r="789">
      <c r="B789" s="16"/>
      <c r="C789" s="16"/>
      <c r="D789" s="16"/>
      <c r="E789" s="13"/>
    </row>
    <row r="790">
      <c r="B790" s="16"/>
      <c r="C790" s="16"/>
      <c r="D790" s="16"/>
      <c r="E790" s="13"/>
    </row>
    <row r="791">
      <c r="B791" s="16"/>
      <c r="C791" s="16"/>
      <c r="D791" s="16"/>
      <c r="E791" s="13"/>
    </row>
    <row r="792">
      <c r="B792" s="16"/>
      <c r="C792" s="16"/>
      <c r="D792" s="16"/>
      <c r="E792" s="13"/>
    </row>
    <row r="793">
      <c r="B793" s="16"/>
      <c r="C793" s="16"/>
      <c r="D793" s="16"/>
      <c r="E793" s="13"/>
    </row>
    <row r="794">
      <c r="B794" s="16"/>
      <c r="C794" s="16"/>
      <c r="D794" s="16"/>
      <c r="E794" s="13"/>
    </row>
    <row r="795">
      <c r="B795" s="16"/>
      <c r="C795" s="16"/>
      <c r="D795" s="16"/>
      <c r="E795" s="13"/>
    </row>
    <row r="796">
      <c r="B796" s="16"/>
      <c r="C796" s="16"/>
      <c r="D796" s="16"/>
      <c r="E796" s="13"/>
    </row>
    <row r="797">
      <c r="B797" s="16"/>
      <c r="C797" s="16"/>
      <c r="D797" s="16"/>
      <c r="E797" s="13"/>
    </row>
    <row r="798">
      <c r="B798" s="16"/>
      <c r="C798" s="16"/>
      <c r="D798" s="16"/>
      <c r="E798" s="13"/>
    </row>
    <row r="799">
      <c r="B799" s="16"/>
      <c r="C799" s="16"/>
      <c r="D799" s="16"/>
      <c r="E799" s="13"/>
    </row>
    <row r="800">
      <c r="B800" s="16"/>
      <c r="C800" s="16"/>
      <c r="D800" s="16"/>
      <c r="E800" s="13"/>
    </row>
    <row r="801">
      <c r="B801" s="16"/>
      <c r="C801" s="16"/>
      <c r="D801" s="16"/>
      <c r="E801" s="13"/>
    </row>
    <row r="802">
      <c r="B802" s="16"/>
      <c r="C802" s="16"/>
      <c r="D802" s="16"/>
      <c r="E802" s="13"/>
    </row>
    <row r="803">
      <c r="B803" s="16"/>
      <c r="C803" s="16"/>
      <c r="D803" s="16"/>
      <c r="E803" s="13"/>
    </row>
    <row r="804">
      <c r="B804" s="16"/>
      <c r="C804" s="16"/>
      <c r="D804" s="16"/>
      <c r="E804" s="13"/>
    </row>
    <row r="805">
      <c r="B805" s="16"/>
      <c r="C805" s="16"/>
      <c r="D805" s="16"/>
      <c r="E805" s="13"/>
    </row>
    <row r="806">
      <c r="B806" s="16"/>
      <c r="C806" s="16"/>
      <c r="D806" s="16"/>
      <c r="E806" s="13"/>
    </row>
    <row r="807">
      <c r="B807" s="16"/>
      <c r="C807" s="16"/>
      <c r="D807" s="16"/>
      <c r="E807" s="13"/>
    </row>
    <row r="808">
      <c r="B808" s="16"/>
      <c r="C808" s="16"/>
      <c r="D808" s="16"/>
      <c r="E808" s="13"/>
    </row>
    <row r="809">
      <c r="B809" s="16"/>
      <c r="C809" s="16"/>
      <c r="D809" s="16"/>
      <c r="E809" s="13"/>
    </row>
    <row r="810">
      <c r="B810" s="16"/>
      <c r="C810" s="16"/>
      <c r="D810" s="16"/>
      <c r="E810" s="13"/>
    </row>
    <row r="811">
      <c r="B811" s="16"/>
      <c r="C811" s="16"/>
      <c r="D811" s="16"/>
      <c r="E811" s="13"/>
    </row>
    <row r="812">
      <c r="B812" s="16"/>
      <c r="C812" s="16"/>
      <c r="D812" s="16"/>
      <c r="E812" s="13"/>
    </row>
    <row r="813">
      <c r="B813" s="16"/>
      <c r="C813" s="16"/>
      <c r="D813" s="16"/>
      <c r="E813" s="13"/>
    </row>
    <row r="814">
      <c r="B814" s="16"/>
      <c r="C814" s="16"/>
      <c r="D814" s="16"/>
      <c r="E814" s="13"/>
    </row>
    <row r="815">
      <c r="B815" s="16"/>
      <c r="C815" s="16"/>
      <c r="D815" s="16"/>
      <c r="E815" s="13"/>
    </row>
    <row r="816">
      <c r="B816" s="16"/>
      <c r="C816" s="16"/>
      <c r="D816" s="16"/>
      <c r="E816" s="13"/>
    </row>
    <row r="817">
      <c r="B817" s="16"/>
      <c r="C817" s="16"/>
      <c r="D817" s="16"/>
      <c r="E817" s="13"/>
    </row>
    <row r="818">
      <c r="B818" s="16"/>
      <c r="C818" s="16"/>
      <c r="D818" s="16"/>
      <c r="E818" s="13"/>
    </row>
    <row r="819">
      <c r="B819" s="16"/>
      <c r="C819" s="16"/>
      <c r="D819" s="16"/>
      <c r="E819" s="13"/>
    </row>
    <row r="820">
      <c r="B820" s="16"/>
      <c r="C820" s="16"/>
      <c r="D820" s="16"/>
      <c r="E820" s="13"/>
    </row>
    <row r="821">
      <c r="B821" s="16"/>
      <c r="C821" s="16"/>
      <c r="D821" s="16"/>
      <c r="E821" s="13"/>
    </row>
    <row r="822">
      <c r="B822" s="16"/>
      <c r="C822" s="16"/>
      <c r="D822" s="16"/>
      <c r="E822" s="13"/>
    </row>
    <row r="823">
      <c r="B823" s="16"/>
      <c r="C823" s="16"/>
      <c r="D823" s="16"/>
      <c r="E823" s="13"/>
    </row>
    <row r="824">
      <c r="B824" s="16"/>
      <c r="C824" s="16"/>
      <c r="D824" s="16"/>
      <c r="E824" s="13"/>
    </row>
    <row r="825">
      <c r="B825" s="16"/>
      <c r="C825" s="16"/>
      <c r="D825" s="16"/>
      <c r="E825" s="13"/>
    </row>
    <row r="826">
      <c r="B826" s="16"/>
      <c r="C826" s="16"/>
      <c r="D826" s="16"/>
      <c r="E826" s="13"/>
    </row>
    <row r="827">
      <c r="B827" s="16"/>
      <c r="C827" s="16"/>
      <c r="D827" s="16"/>
      <c r="E827" s="13"/>
    </row>
    <row r="828">
      <c r="B828" s="16"/>
      <c r="C828" s="16"/>
      <c r="D828" s="16"/>
      <c r="E828" s="13"/>
    </row>
    <row r="829">
      <c r="B829" s="16"/>
      <c r="C829" s="16"/>
      <c r="D829" s="16"/>
      <c r="E829" s="13"/>
    </row>
    <row r="830">
      <c r="B830" s="16"/>
      <c r="C830" s="16"/>
      <c r="D830" s="16"/>
      <c r="E830" s="13"/>
    </row>
    <row r="831">
      <c r="B831" s="16"/>
      <c r="C831" s="16"/>
      <c r="D831" s="16"/>
      <c r="E831" s="13"/>
    </row>
    <row r="832">
      <c r="B832" s="16"/>
      <c r="C832" s="16"/>
      <c r="D832" s="16"/>
      <c r="E832" s="13"/>
    </row>
    <row r="833">
      <c r="B833" s="16"/>
      <c r="C833" s="16"/>
      <c r="D833" s="16"/>
      <c r="E833" s="13"/>
    </row>
    <row r="834">
      <c r="B834" s="16"/>
      <c r="C834" s="16"/>
      <c r="D834" s="16"/>
      <c r="E834" s="13"/>
    </row>
    <row r="835">
      <c r="B835" s="16"/>
      <c r="C835" s="16"/>
      <c r="D835" s="16"/>
      <c r="E835" s="13"/>
    </row>
    <row r="836">
      <c r="B836" s="16"/>
      <c r="C836" s="16"/>
      <c r="D836" s="16"/>
      <c r="E836" s="13"/>
    </row>
    <row r="837">
      <c r="B837" s="16"/>
      <c r="C837" s="16"/>
      <c r="D837" s="16"/>
      <c r="E837" s="13"/>
    </row>
    <row r="838">
      <c r="B838" s="16"/>
      <c r="C838" s="16"/>
      <c r="D838" s="16"/>
      <c r="E838" s="13"/>
    </row>
    <row r="839">
      <c r="B839" s="16"/>
      <c r="C839" s="16"/>
      <c r="D839" s="16"/>
      <c r="E839" s="13"/>
    </row>
    <row r="840">
      <c r="B840" s="16"/>
      <c r="C840" s="16"/>
      <c r="D840" s="16"/>
      <c r="E840" s="13"/>
    </row>
    <row r="841">
      <c r="B841" s="16"/>
      <c r="C841" s="16"/>
      <c r="D841" s="16"/>
      <c r="E841" s="13"/>
    </row>
    <row r="842">
      <c r="B842" s="16"/>
      <c r="C842" s="16"/>
      <c r="D842" s="16"/>
      <c r="E842" s="13"/>
    </row>
    <row r="843">
      <c r="B843" s="16"/>
      <c r="C843" s="16"/>
      <c r="D843" s="16"/>
      <c r="E843" s="13"/>
    </row>
    <row r="844">
      <c r="B844" s="16"/>
      <c r="C844" s="16"/>
      <c r="D844" s="16"/>
      <c r="E844" s="13"/>
    </row>
    <row r="845">
      <c r="B845" s="16"/>
      <c r="C845" s="16"/>
      <c r="D845" s="16"/>
      <c r="E845" s="13"/>
    </row>
    <row r="846">
      <c r="B846" s="16"/>
      <c r="C846" s="16"/>
      <c r="D846" s="16"/>
      <c r="E846" s="13"/>
    </row>
    <row r="847">
      <c r="B847" s="16"/>
      <c r="C847" s="16"/>
      <c r="D847" s="16"/>
      <c r="E847" s="13"/>
    </row>
    <row r="848">
      <c r="B848" s="16"/>
      <c r="C848" s="16"/>
      <c r="D848" s="16"/>
      <c r="E848" s="13"/>
    </row>
    <row r="849">
      <c r="B849" s="16"/>
      <c r="C849" s="16"/>
      <c r="D849" s="16"/>
      <c r="E849" s="13"/>
    </row>
    <row r="850">
      <c r="B850" s="16"/>
      <c r="C850" s="16"/>
      <c r="D850" s="16"/>
      <c r="E850" s="13"/>
    </row>
    <row r="851">
      <c r="B851" s="16"/>
      <c r="C851" s="16"/>
      <c r="D851" s="16"/>
      <c r="E851" s="13"/>
    </row>
    <row r="852">
      <c r="B852" s="16"/>
      <c r="C852" s="16"/>
      <c r="D852" s="16"/>
      <c r="E852" s="13"/>
    </row>
    <row r="853">
      <c r="B853" s="16"/>
      <c r="C853" s="16"/>
      <c r="D853" s="16"/>
      <c r="E853" s="13"/>
    </row>
    <row r="854">
      <c r="B854" s="16"/>
      <c r="C854" s="16"/>
      <c r="D854" s="16"/>
      <c r="E854" s="13"/>
    </row>
    <row r="855">
      <c r="B855" s="16"/>
      <c r="C855" s="16"/>
      <c r="D855" s="16"/>
      <c r="E855" s="13"/>
    </row>
    <row r="856">
      <c r="B856" s="16"/>
      <c r="C856" s="16"/>
      <c r="D856" s="16"/>
      <c r="E856" s="13"/>
    </row>
    <row r="857">
      <c r="B857" s="16"/>
      <c r="C857" s="16"/>
      <c r="D857" s="16"/>
      <c r="E857" s="13"/>
    </row>
    <row r="858">
      <c r="B858" s="16"/>
      <c r="C858" s="16"/>
      <c r="D858" s="16"/>
      <c r="E858" s="13"/>
    </row>
    <row r="859">
      <c r="B859" s="16"/>
      <c r="C859" s="16"/>
      <c r="D859" s="16"/>
      <c r="E859" s="13"/>
    </row>
    <row r="860">
      <c r="B860" s="16"/>
      <c r="C860" s="16"/>
      <c r="D860" s="16"/>
      <c r="E860" s="13"/>
    </row>
    <row r="861">
      <c r="B861" s="16"/>
      <c r="C861" s="16"/>
      <c r="D861" s="16"/>
      <c r="E861" s="13"/>
    </row>
    <row r="862">
      <c r="B862" s="16"/>
      <c r="C862" s="16"/>
      <c r="D862" s="16"/>
      <c r="E862" s="13"/>
    </row>
    <row r="863">
      <c r="B863" s="16"/>
      <c r="C863" s="16"/>
      <c r="D863" s="16"/>
      <c r="E863" s="13"/>
    </row>
    <row r="864">
      <c r="B864" s="16"/>
      <c r="C864" s="16"/>
      <c r="D864" s="16"/>
      <c r="E864" s="13"/>
    </row>
    <row r="865">
      <c r="B865" s="16"/>
      <c r="C865" s="16"/>
      <c r="D865" s="16"/>
      <c r="E865" s="13"/>
    </row>
    <row r="866">
      <c r="B866" s="16"/>
      <c r="C866" s="16"/>
      <c r="D866" s="16"/>
      <c r="E866" s="13"/>
    </row>
    <row r="867">
      <c r="B867" s="16"/>
      <c r="C867" s="16"/>
      <c r="D867" s="16"/>
      <c r="E867" s="13"/>
    </row>
    <row r="868">
      <c r="B868" s="16"/>
      <c r="C868" s="16"/>
      <c r="D868" s="16"/>
      <c r="E868" s="13"/>
    </row>
    <row r="869">
      <c r="B869" s="16"/>
      <c r="C869" s="16"/>
      <c r="D869" s="16"/>
      <c r="E869" s="13"/>
    </row>
    <row r="870">
      <c r="B870" s="16"/>
      <c r="C870" s="16"/>
      <c r="D870" s="16"/>
      <c r="E870" s="13"/>
    </row>
    <row r="871">
      <c r="B871" s="16"/>
      <c r="C871" s="16"/>
      <c r="D871" s="16"/>
      <c r="E871" s="13"/>
    </row>
    <row r="872">
      <c r="B872" s="16"/>
      <c r="C872" s="16"/>
      <c r="D872" s="16"/>
      <c r="E872" s="13"/>
    </row>
    <row r="873">
      <c r="B873" s="16"/>
      <c r="C873" s="16"/>
      <c r="D873" s="16"/>
      <c r="E873" s="13"/>
    </row>
    <row r="874">
      <c r="B874" s="16"/>
      <c r="C874" s="16"/>
      <c r="D874" s="16"/>
      <c r="E874" s="13"/>
    </row>
    <row r="875">
      <c r="B875" s="16"/>
      <c r="C875" s="16"/>
      <c r="D875" s="16"/>
      <c r="E875" s="13"/>
    </row>
    <row r="876">
      <c r="B876" s="16"/>
      <c r="C876" s="16"/>
      <c r="D876" s="16"/>
      <c r="E876" s="13"/>
    </row>
    <row r="877">
      <c r="B877" s="16"/>
      <c r="C877" s="16"/>
      <c r="D877" s="16"/>
      <c r="E877" s="13"/>
    </row>
    <row r="878">
      <c r="B878" s="16"/>
      <c r="C878" s="16"/>
      <c r="D878" s="16"/>
      <c r="E878" s="13"/>
    </row>
    <row r="879">
      <c r="B879" s="16"/>
      <c r="C879" s="16"/>
      <c r="D879" s="16"/>
      <c r="E879" s="13"/>
    </row>
    <row r="880">
      <c r="B880" s="16"/>
      <c r="C880" s="16"/>
      <c r="D880" s="16"/>
      <c r="E880" s="13"/>
    </row>
    <row r="881">
      <c r="B881" s="16"/>
      <c r="C881" s="16"/>
      <c r="D881" s="16"/>
      <c r="E881" s="13"/>
    </row>
    <row r="882">
      <c r="B882" s="16"/>
      <c r="C882" s="16"/>
      <c r="D882" s="16"/>
      <c r="E882" s="13"/>
    </row>
    <row r="883">
      <c r="B883" s="16"/>
      <c r="C883" s="16"/>
      <c r="D883" s="16"/>
      <c r="E883" s="13"/>
    </row>
    <row r="884">
      <c r="B884" s="16"/>
      <c r="C884" s="16"/>
      <c r="D884" s="16"/>
      <c r="E884" s="13"/>
    </row>
    <row r="885">
      <c r="B885" s="16"/>
      <c r="C885" s="16"/>
      <c r="D885" s="16"/>
      <c r="E885" s="13"/>
    </row>
    <row r="886">
      <c r="B886" s="16"/>
      <c r="C886" s="16"/>
      <c r="D886" s="16"/>
      <c r="E886" s="13"/>
    </row>
    <row r="887">
      <c r="B887" s="16"/>
      <c r="C887" s="16"/>
      <c r="D887" s="16"/>
      <c r="E887" s="13"/>
    </row>
    <row r="888">
      <c r="B888" s="16"/>
      <c r="C888" s="16"/>
      <c r="D888" s="16"/>
      <c r="E888" s="13"/>
    </row>
    <row r="889">
      <c r="B889" s="16"/>
      <c r="C889" s="16"/>
      <c r="D889" s="16"/>
      <c r="E889" s="13"/>
    </row>
    <row r="890">
      <c r="B890" s="16"/>
      <c r="C890" s="16"/>
      <c r="D890" s="16"/>
      <c r="E890" s="13"/>
    </row>
    <row r="891">
      <c r="B891" s="16"/>
      <c r="C891" s="16"/>
      <c r="D891" s="16"/>
      <c r="E891" s="13"/>
    </row>
    <row r="892">
      <c r="B892" s="16"/>
      <c r="C892" s="16"/>
      <c r="D892" s="16"/>
      <c r="E892" s="13"/>
    </row>
    <row r="893">
      <c r="B893" s="16"/>
      <c r="C893" s="16"/>
      <c r="D893" s="16"/>
      <c r="E893" s="13"/>
    </row>
    <row r="894">
      <c r="B894" s="16"/>
      <c r="C894" s="16"/>
      <c r="D894" s="16"/>
      <c r="E894" s="13"/>
    </row>
    <row r="895">
      <c r="B895" s="16"/>
      <c r="C895" s="16"/>
      <c r="D895" s="16"/>
      <c r="E895" s="13"/>
    </row>
    <row r="896">
      <c r="B896" s="16"/>
      <c r="C896" s="16"/>
      <c r="D896" s="16"/>
      <c r="E896" s="13"/>
    </row>
    <row r="897">
      <c r="B897" s="16"/>
      <c r="C897" s="16"/>
      <c r="D897" s="16"/>
      <c r="E897" s="13"/>
    </row>
    <row r="898">
      <c r="B898" s="16"/>
      <c r="C898" s="16"/>
      <c r="D898" s="16"/>
      <c r="E898" s="13"/>
    </row>
    <row r="899">
      <c r="B899" s="16"/>
      <c r="C899" s="16"/>
      <c r="D899" s="16"/>
      <c r="E899" s="13"/>
    </row>
    <row r="900">
      <c r="B900" s="16"/>
      <c r="C900" s="16"/>
      <c r="D900" s="16"/>
      <c r="E900" s="13"/>
    </row>
    <row r="901">
      <c r="B901" s="16"/>
      <c r="C901" s="16"/>
      <c r="D901" s="16"/>
      <c r="E901" s="13"/>
    </row>
    <row r="902">
      <c r="B902" s="16"/>
      <c r="C902" s="16"/>
      <c r="D902" s="16"/>
      <c r="E902" s="13"/>
    </row>
    <row r="903">
      <c r="B903" s="16"/>
      <c r="C903" s="16"/>
      <c r="D903" s="16"/>
      <c r="E903" s="13"/>
    </row>
    <row r="904">
      <c r="B904" s="16"/>
      <c r="C904" s="16"/>
      <c r="D904" s="16"/>
      <c r="E904" s="13"/>
    </row>
    <row r="905">
      <c r="B905" s="16"/>
      <c r="C905" s="16"/>
      <c r="D905" s="16"/>
      <c r="E905" s="13"/>
    </row>
    <row r="906">
      <c r="B906" s="16"/>
      <c r="C906" s="16"/>
      <c r="D906" s="16"/>
      <c r="E906" s="13"/>
    </row>
    <row r="907">
      <c r="B907" s="16"/>
      <c r="C907" s="16"/>
      <c r="D907" s="16"/>
      <c r="E907" s="13"/>
    </row>
    <row r="908">
      <c r="B908" s="16"/>
      <c r="C908" s="16"/>
      <c r="D908" s="16"/>
      <c r="E908" s="13"/>
    </row>
    <row r="909">
      <c r="B909" s="16"/>
      <c r="C909" s="16"/>
      <c r="D909" s="16"/>
      <c r="E909" s="13"/>
    </row>
    <row r="910">
      <c r="B910" s="16"/>
      <c r="C910" s="16"/>
      <c r="D910" s="16"/>
      <c r="E910" s="13"/>
    </row>
    <row r="911">
      <c r="B911" s="16"/>
      <c r="C911" s="16"/>
      <c r="D911" s="16"/>
      <c r="E911" s="13"/>
    </row>
    <row r="912">
      <c r="B912" s="16"/>
      <c r="C912" s="16"/>
      <c r="D912" s="16"/>
      <c r="E912" s="13"/>
    </row>
    <row r="913">
      <c r="B913" s="16"/>
      <c r="C913" s="16"/>
      <c r="D913" s="16"/>
      <c r="E913" s="13"/>
    </row>
    <row r="914">
      <c r="B914" s="16"/>
      <c r="C914" s="16"/>
      <c r="D914" s="16"/>
      <c r="E914" s="13"/>
    </row>
    <row r="915">
      <c r="B915" s="16"/>
      <c r="C915" s="16"/>
      <c r="D915" s="16"/>
      <c r="E915" s="13"/>
    </row>
    <row r="916">
      <c r="B916" s="16"/>
      <c r="C916" s="16"/>
      <c r="D916" s="16"/>
      <c r="E916" s="13"/>
    </row>
    <row r="917">
      <c r="B917" s="16"/>
      <c r="C917" s="16"/>
      <c r="D917" s="16"/>
      <c r="E917" s="13"/>
    </row>
    <row r="918">
      <c r="B918" s="16"/>
      <c r="C918" s="16"/>
      <c r="D918" s="16"/>
      <c r="E918" s="13"/>
    </row>
    <row r="919">
      <c r="B919" s="16"/>
      <c r="C919" s="16"/>
      <c r="D919" s="16"/>
      <c r="E919" s="13"/>
    </row>
    <row r="920">
      <c r="B920" s="16"/>
      <c r="C920" s="16"/>
      <c r="D920" s="16"/>
      <c r="E920" s="13"/>
    </row>
    <row r="921">
      <c r="B921" s="16"/>
      <c r="C921" s="16"/>
      <c r="D921" s="16"/>
      <c r="E921" s="13"/>
    </row>
    <row r="922">
      <c r="B922" s="16"/>
      <c r="C922" s="16"/>
      <c r="D922" s="16"/>
      <c r="E922" s="13"/>
    </row>
    <row r="923">
      <c r="B923" s="16"/>
      <c r="C923" s="16"/>
      <c r="D923" s="16"/>
      <c r="E923" s="13"/>
    </row>
    <row r="924">
      <c r="B924" s="16"/>
      <c r="C924" s="16"/>
      <c r="D924" s="16"/>
      <c r="E924" s="13"/>
    </row>
    <row r="925">
      <c r="B925" s="16"/>
      <c r="C925" s="16"/>
      <c r="D925" s="16"/>
      <c r="E925" s="13"/>
    </row>
    <row r="926">
      <c r="B926" s="16"/>
      <c r="C926" s="16"/>
      <c r="D926" s="16"/>
      <c r="E926" s="13"/>
    </row>
    <row r="927">
      <c r="B927" s="16"/>
      <c r="C927" s="16"/>
      <c r="D927" s="16"/>
      <c r="E927" s="13"/>
    </row>
    <row r="928">
      <c r="B928" s="16"/>
      <c r="C928" s="16"/>
      <c r="D928" s="16"/>
      <c r="E928" s="13"/>
    </row>
    <row r="929">
      <c r="B929" s="16"/>
      <c r="C929" s="16"/>
      <c r="D929" s="16"/>
      <c r="E929" s="13"/>
    </row>
    <row r="930">
      <c r="B930" s="16"/>
      <c r="C930" s="16"/>
      <c r="D930" s="16"/>
      <c r="E930" s="13"/>
    </row>
    <row r="931">
      <c r="B931" s="16"/>
      <c r="C931" s="16"/>
      <c r="D931" s="16"/>
      <c r="E931" s="13"/>
    </row>
    <row r="932">
      <c r="B932" s="16"/>
      <c r="C932" s="16"/>
      <c r="D932" s="16"/>
      <c r="E932" s="13"/>
    </row>
    <row r="933">
      <c r="B933" s="16"/>
      <c r="C933" s="16"/>
      <c r="D933" s="16"/>
      <c r="E933" s="13"/>
    </row>
    <row r="934">
      <c r="B934" s="16"/>
      <c r="C934" s="16"/>
      <c r="D934" s="16"/>
      <c r="E934" s="13"/>
    </row>
    <row r="935">
      <c r="B935" s="16"/>
      <c r="C935" s="16"/>
      <c r="D935" s="16"/>
      <c r="E935" s="13"/>
    </row>
    <row r="936">
      <c r="B936" s="16"/>
      <c r="C936" s="16"/>
      <c r="D936" s="16"/>
      <c r="E936" s="13"/>
    </row>
    <row r="937">
      <c r="B937" s="16"/>
      <c r="C937" s="16"/>
      <c r="D937" s="16"/>
      <c r="E937" s="13"/>
    </row>
    <row r="938">
      <c r="B938" s="16"/>
      <c r="C938" s="16"/>
      <c r="D938" s="16"/>
      <c r="E938" s="13"/>
    </row>
    <row r="939">
      <c r="B939" s="16"/>
      <c r="C939" s="16"/>
      <c r="D939" s="16"/>
      <c r="E939" s="13"/>
    </row>
    <row r="940">
      <c r="B940" s="16"/>
      <c r="C940" s="16"/>
      <c r="D940" s="16"/>
      <c r="E940" s="13"/>
    </row>
    <row r="941">
      <c r="B941" s="16"/>
      <c r="C941" s="16"/>
      <c r="D941" s="16"/>
      <c r="E941" s="13"/>
    </row>
    <row r="942">
      <c r="B942" s="16"/>
      <c r="C942" s="16"/>
      <c r="D942" s="16"/>
      <c r="E942" s="13"/>
    </row>
    <row r="943">
      <c r="B943" s="16"/>
      <c r="C943" s="16"/>
      <c r="D943" s="16"/>
      <c r="E943" s="13"/>
    </row>
    <row r="944">
      <c r="B944" s="16"/>
      <c r="C944" s="16"/>
      <c r="D944" s="16"/>
      <c r="E944" s="13"/>
    </row>
    <row r="945">
      <c r="B945" s="16"/>
      <c r="C945" s="16"/>
      <c r="D945" s="16"/>
      <c r="E945" s="13"/>
    </row>
    <row r="946">
      <c r="B946" s="16"/>
      <c r="C946" s="16"/>
      <c r="D946" s="16"/>
      <c r="E946" s="13"/>
    </row>
    <row r="947">
      <c r="B947" s="16"/>
      <c r="C947" s="16"/>
      <c r="D947" s="16"/>
      <c r="E947" s="13"/>
    </row>
    <row r="948">
      <c r="B948" s="16"/>
      <c r="C948" s="16"/>
      <c r="D948" s="16"/>
      <c r="E948" s="13"/>
    </row>
    <row r="949">
      <c r="B949" s="16"/>
      <c r="C949" s="16"/>
      <c r="D949" s="16"/>
      <c r="E949" s="13"/>
    </row>
    <row r="950">
      <c r="B950" s="16"/>
      <c r="C950" s="16"/>
      <c r="D950" s="16"/>
      <c r="E950" s="13"/>
    </row>
    <row r="951">
      <c r="B951" s="16"/>
      <c r="C951" s="16"/>
      <c r="D951" s="16"/>
      <c r="E951" s="13"/>
    </row>
    <row r="952">
      <c r="B952" s="16"/>
      <c r="C952" s="16"/>
      <c r="D952" s="16"/>
      <c r="E952" s="13"/>
    </row>
    <row r="953">
      <c r="B953" s="16"/>
      <c r="C953" s="16"/>
      <c r="D953" s="16"/>
      <c r="E953" s="13"/>
    </row>
    <row r="954">
      <c r="B954" s="16"/>
      <c r="C954" s="16"/>
      <c r="D954" s="16"/>
      <c r="E954" s="13"/>
    </row>
    <row r="955">
      <c r="B955" s="16"/>
      <c r="C955" s="16"/>
      <c r="D955" s="16"/>
      <c r="E955" s="13"/>
    </row>
    <row r="956">
      <c r="B956" s="16"/>
      <c r="C956" s="16"/>
      <c r="D956" s="16"/>
      <c r="E956" s="13"/>
    </row>
    <row r="957">
      <c r="B957" s="16"/>
      <c r="C957" s="16"/>
      <c r="D957" s="16"/>
      <c r="E957" s="13"/>
    </row>
    <row r="958">
      <c r="B958" s="16"/>
      <c r="C958" s="16"/>
      <c r="D958" s="16"/>
      <c r="E958" s="13"/>
    </row>
    <row r="959">
      <c r="B959" s="16"/>
      <c r="C959" s="16"/>
      <c r="D959" s="16"/>
      <c r="E959" s="13"/>
    </row>
    <row r="960">
      <c r="B960" s="16"/>
      <c r="C960" s="16"/>
      <c r="D960" s="16"/>
      <c r="E960" s="13"/>
    </row>
    <row r="961">
      <c r="B961" s="16"/>
      <c r="C961" s="16"/>
      <c r="D961" s="16"/>
      <c r="E961" s="13"/>
    </row>
    <row r="962">
      <c r="B962" s="16"/>
      <c r="C962" s="16"/>
      <c r="D962" s="16"/>
      <c r="E962" s="13"/>
    </row>
    <row r="963">
      <c r="B963" s="16"/>
      <c r="C963" s="16"/>
      <c r="D963" s="16"/>
      <c r="E963" s="13"/>
    </row>
    <row r="964">
      <c r="B964" s="16"/>
      <c r="C964" s="16"/>
      <c r="D964" s="16"/>
      <c r="E964" s="13"/>
    </row>
    <row r="965">
      <c r="B965" s="16"/>
      <c r="C965" s="16"/>
      <c r="D965" s="16"/>
      <c r="E965" s="13"/>
    </row>
    <row r="966">
      <c r="B966" s="16"/>
      <c r="C966" s="16"/>
      <c r="D966" s="16"/>
      <c r="E966" s="13"/>
    </row>
    <row r="967">
      <c r="B967" s="16"/>
      <c r="C967" s="16"/>
      <c r="D967" s="16"/>
      <c r="E967" s="13"/>
    </row>
    <row r="968">
      <c r="B968" s="16"/>
      <c r="C968" s="16"/>
      <c r="D968" s="16"/>
      <c r="E968" s="13"/>
    </row>
    <row r="969">
      <c r="B969" s="16"/>
      <c r="C969" s="16"/>
      <c r="D969" s="16"/>
      <c r="E969" s="13"/>
    </row>
    <row r="970">
      <c r="B970" s="16"/>
      <c r="C970" s="16"/>
      <c r="D970" s="16"/>
      <c r="E970" s="13"/>
    </row>
    <row r="971">
      <c r="B971" s="16"/>
      <c r="C971" s="16"/>
      <c r="D971" s="16"/>
      <c r="E971" s="13"/>
    </row>
    <row r="972">
      <c r="B972" s="16"/>
      <c r="C972" s="16"/>
      <c r="D972" s="16"/>
      <c r="E972" s="13"/>
    </row>
    <row r="973">
      <c r="B973" s="16"/>
      <c r="C973" s="16"/>
      <c r="D973" s="16"/>
      <c r="E973" s="13"/>
    </row>
    <row r="974">
      <c r="B974" s="16"/>
      <c r="C974" s="16"/>
      <c r="D974" s="16"/>
      <c r="E974" s="13"/>
    </row>
    <row r="975">
      <c r="B975" s="16"/>
      <c r="C975" s="16"/>
      <c r="D975" s="16"/>
      <c r="E975" s="13"/>
    </row>
    <row r="976">
      <c r="B976" s="16"/>
      <c r="C976" s="16"/>
      <c r="D976" s="16"/>
      <c r="E976" s="13"/>
    </row>
    <row r="977">
      <c r="B977" s="16"/>
      <c r="C977" s="16"/>
      <c r="D977" s="16"/>
      <c r="E977" s="13"/>
    </row>
    <row r="978">
      <c r="B978" s="16"/>
      <c r="C978" s="16"/>
      <c r="D978" s="16"/>
      <c r="E978" s="13"/>
    </row>
    <row r="979">
      <c r="B979" s="16"/>
      <c r="C979" s="16"/>
      <c r="D979" s="16"/>
      <c r="E979" s="13"/>
    </row>
    <row r="980">
      <c r="B980" s="16"/>
      <c r="C980" s="16"/>
      <c r="D980" s="16"/>
      <c r="E980" s="13"/>
    </row>
    <row r="981">
      <c r="B981" s="16"/>
      <c r="C981" s="16"/>
      <c r="D981" s="16"/>
      <c r="E981" s="13"/>
    </row>
    <row r="982">
      <c r="B982" s="16"/>
      <c r="C982" s="16"/>
      <c r="D982" s="16"/>
      <c r="E982" s="13"/>
    </row>
    <row r="983">
      <c r="B983" s="16"/>
      <c r="C983" s="16"/>
      <c r="D983" s="16"/>
      <c r="E983" s="13"/>
    </row>
    <row r="984">
      <c r="B984" s="16"/>
      <c r="C984" s="16"/>
      <c r="D984" s="16"/>
      <c r="E984" s="13"/>
    </row>
    <row r="985">
      <c r="B985" s="16"/>
      <c r="C985" s="16"/>
      <c r="D985" s="16"/>
      <c r="E985" s="13"/>
    </row>
    <row r="986">
      <c r="B986" s="16"/>
      <c r="C986" s="16"/>
      <c r="D986" s="16"/>
      <c r="E986" s="13"/>
    </row>
    <row r="987">
      <c r="B987" s="16"/>
      <c r="C987" s="16"/>
      <c r="D987" s="16"/>
      <c r="E987" s="13"/>
    </row>
    <row r="988">
      <c r="B988" s="16"/>
      <c r="C988" s="16"/>
      <c r="D988" s="16"/>
      <c r="E988" s="13"/>
    </row>
    <row r="989">
      <c r="B989" s="16"/>
      <c r="C989" s="16"/>
      <c r="D989" s="16"/>
      <c r="E989" s="13"/>
    </row>
    <row r="990">
      <c r="B990" s="16"/>
      <c r="C990" s="16"/>
      <c r="D990" s="16"/>
      <c r="E990" s="13"/>
    </row>
    <row r="991">
      <c r="B991" s="16"/>
      <c r="C991" s="16"/>
      <c r="D991" s="16"/>
      <c r="E991" s="13"/>
    </row>
    <row r="992">
      <c r="B992" s="16"/>
      <c r="C992" s="16"/>
      <c r="D992" s="16"/>
      <c r="E992" s="13"/>
    </row>
    <row r="993">
      <c r="B993" s="16"/>
      <c r="C993" s="16"/>
      <c r="D993" s="16"/>
      <c r="E993" s="13"/>
    </row>
    <row r="994">
      <c r="B994" s="16"/>
      <c r="C994" s="16"/>
      <c r="D994" s="16"/>
      <c r="E994" s="13"/>
    </row>
    <row r="995">
      <c r="B995" s="16"/>
      <c r="C995" s="16"/>
      <c r="D995" s="16"/>
      <c r="E995" s="13"/>
    </row>
    <row r="996">
      <c r="B996" s="16"/>
      <c r="C996" s="16"/>
      <c r="D996" s="16"/>
      <c r="E996" s="13"/>
    </row>
    <row r="997">
      <c r="B997" s="16"/>
      <c r="C997" s="16"/>
      <c r="D997" s="16"/>
      <c r="E997" s="13"/>
    </row>
    <row r="998">
      <c r="B998" s="16"/>
      <c r="C998" s="16"/>
      <c r="D998" s="16"/>
      <c r="E998" s="13"/>
    </row>
    <row r="999">
      <c r="B999" s="16"/>
      <c r="C999" s="16"/>
      <c r="D999" s="16"/>
      <c r="E999" s="13"/>
    </row>
    <row r="1000">
      <c r="B1000" s="16"/>
      <c r="C1000" s="16"/>
      <c r="D1000" s="16"/>
      <c r="E1000" s="13"/>
    </row>
  </sheetData>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18.0"/>
    <col customWidth="1" min="4" max="4" width="21.57"/>
  </cols>
  <sheetData>
    <row r="1">
      <c r="A1" s="4" t="s">
        <v>3</v>
      </c>
      <c r="B1" s="4" t="s">
        <v>474</v>
      </c>
      <c r="C1" s="4" t="s">
        <v>446</v>
      </c>
      <c r="D1" s="4" t="s">
        <v>475</v>
      </c>
    </row>
    <row r="2">
      <c r="A2" s="17" t="s">
        <v>449</v>
      </c>
      <c r="B2" s="16">
        <f>VLOOKUP(A2, Campaign_Performance!A:D, 4, FALSE)
</f>
        <v>283492</v>
      </c>
      <c r="C2" s="15">
        <f>VLOOKUP(A2, 'Campaign Metadata'!A:E, 5, FALSE)
</f>
        <v>150000</v>
      </c>
      <c r="D2" s="15">
        <f t="shared" ref="D2:D4" si="1">IFERROR(B2 / C2, "")
</f>
        <v>1.889946667</v>
      </c>
    </row>
    <row r="3">
      <c r="A3" s="17" t="s">
        <v>453</v>
      </c>
      <c r="B3" s="16">
        <f>VLOOKUP(A3, Campaign_Performance!A:D, 4, FALSE)
</f>
        <v>236043</v>
      </c>
      <c r="C3" s="15">
        <f>VLOOKUP(A3, 'Campaign Metadata'!A:E, 5, FALSE)
</f>
        <v>200000</v>
      </c>
      <c r="D3" s="15">
        <f t="shared" si="1"/>
        <v>1.180215</v>
      </c>
    </row>
    <row r="4">
      <c r="A4" s="17" t="s">
        <v>457</v>
      </c>
      <c r="B4" s="16">
        <f>VLOOKUP(A4, Campaign_Performance!A:D, 4, FALSE)
</f>
        <v>117077</v>
      </c>
      <c r="C4" s="15">
        <f>VLOOKUP(A4, 'Campaign Metadata'!A:E, 5, FALSE)
</f>
        <v>250000</v>
      </c>
      <c r="D4" s="15">
        <f t="shared" si="1"/>
        <v>0.468308</v>
      </c>
    </row>
  </sheetData>
  <conditionalFormatting sqref="D1:D999">
    <cfRule type="cellIs" dxfId="0" priority="1" operator="greaterThan">
      <formula>1.5</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sheetData>
  <conditionalFormatting sqref="B2:B4">
    <cfRule type="expression" dxfId="1" priority="1">
      <formula>B2=MAX($B$2:$B$4)</formula>
    </cfRule>
  </conditionalFormatting>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4.0"/>
    <col customWidth="1" min="2" max="2" width="26.0"/>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sheetData>
  <conditionalFormatting sqref="B2:B53">
    <cfRule type="expression" dxfId="2" priority="1">
      <formula>B2=MAX($B$2:$B$53)</formula>
    </cfRule>
  </conditionalFormatting>
  <conditionalFormatting sqref="E38">
    <cfRule type="notContainsBlanks" dxfId="0" priority="2">
      <formula>LEN(TRIM(E38))&gt;0</formula>
    </cfRule>
  </conditionalFormatting>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71"/>
    <col customWidth="1" min="3" max="3" width="26.29"/>
  </cols>
  <sheetData>
    <row r="1">
      <c r="A1" s="32" t="s">
        <v>20</v>
      </c>
      <c r="B1" s="4" t="s">
        <v>19</v>
      </c>
      <c r="C1" s="4" t="s">
        <v>480</v>
      </c>
    </row>
    <row r="2">
      <c r="A2" s="15">
        <v>1.0</v>
      </c>
      <c r="B2" s="16">
        <v>-5399.0</v>
      </c>
    </row>
    <row r="3">
      <c r="A3" s="15">
        <v>2.0</v>
      </c>
      <c r="B3" s="16">
        <v>16004.0</v>
      </c>
    </row>
    <row r="4">
      <c r="A4" s="15">
        <v>3.0</v>
      </c>
      <c r="B4" s="16">
        <v>-73869.0</v>
      </c>
      <c r="C4" s="16">
        <f t="shared" ref="C4:C52" si="1">AVERAGE(B2:B4)
</f>
        <v>-21088</v>
      </c>
    </row>
    <row r="5">
      <c r="A5" s="15">
        <v>4.0</v>
      </c>
      <c r="B5" s="16">
        <v>-15928.0</v>
      </c>
      <c r="C5" s="16">
        <f t="shared" si="1"/>
        <v>-24597.66667</v>
      </c>
    </row>
    <row r="6">
      <c r="A6" s="15">
        <v>5.0</v>
      </c>
      <c r="B6" s="16">
        <v>25234.0</v>
      </c>
      <c r="C6" s="16">
        <f t="shared" si="1"/>
        <v>-21521</v>
      </c>
    </row>
    <row r="7">
      <c r="A7" s="15">
        <v>6.0</v>
      </c>
      <c r="B7" s="16">
        <v>17670.0</v>
      </c>
      <c r="C7" s="16">
        <f t="shared" si="1"/>
        <v>8992</v>
      </c>
    </row>
    <row r="8">
      <c r="A8" s="15">
        <v>7.0</v>
      </c>
      <c r="B8" s="16">
        <v>22964.0</v>
      </c>
      <c r="C8" s="16">
        <f t="shared" si="1"/>
        <v>21956</v>
      </c>
    </row>
    <row r="9">
      <c r="A9" s="15">
        <v>8.0</v>
      </c>
      <c r="B9" s="16">
        <v>48821.0</v>
      </c>
      <c r="C9" s="16">
        <f t="shared" si="1"/>
        <v>29818.33333</v>
      </c>
    </row>
    <row r="10">
      <c r="A10" s="15">
        <v>9.0</v>
      </c>
      <c r="B10" s="16">
        <v>-34815.0</v>
      </c>
      <c r="C10" s="16">
        <f t="shared" si="1"/>
        <v>12323.33333</v>
      </c>
    </row>
    <row r="11">
      <c r="A11" s="15">
        <v>10.0</v>
      </c>
      <c r="B11" s="16">
        <v>-50262.0</v>
      </c>
      <c r="C11" s="16">
        <f t="shared" si="1"/>
        <v>-12085.33333</v>
      </c>
    </row>
    <row r="12">
      <c r="A12" s="15">
        <v>11.0</v>
      </c>
      <c r="B12" s="16">
        <v>-30038.0</v>
      </c>
      <c r="C12" s="16">
        <f t="shared" si="1"/>
        <v>-38371.66667</v>
      </c>
    </row>
    <row r="13">
      <c r="A13" s="15">
        <v>12.0</v>
      </c>
      <c r="B13" s="16">
        <v>-19810.0</v>
      </c>
      <c r="C13" s="16">
        <f t="shared" si="1"/>
        <v>-33370</v>
      </c>
    </row>
    <row r="14">
      <c r="A14" s="15">
        <v>13.0</v>
      </c>
      <c r="B14" s="16">
        <v>52830.0</v>
      </c>
      <c r="C14" s="16">
        <f t="shared" si="1"/>
        <v>994</v>
      </c>
    </row>
    <row r="15">
      <c r="A15" s="15">
        <v>14.0</v>
      </c>
      <c r="B15" s="15">
        <v>33755.0</v>
      </c>
      <c r="C15" s="16">
        <f t="shared" si="1"/>
        <v>22258.33333</v>
      </c>
    </row>
    <row r="16">
      <c r="A16" s="15">
        <v>15.0</v>
      </c>
      <c r="B16" s="16">
        <v>23767.0</v>
      </c>
      <c r="C16" s="16">
        <f t="shared" si="1"/>
        <v>36784</v>
      </c>
    </row>
    <row r="17">
      <c r="A17" s="15">
        <v>16.0</v>
      </c>
      <c r="B17" s="16">
        <v>55611.0</v>
      </c>
      <c r="C17" s="15">
        <f t="shared" si="1"/>
        <v>37711</v>
      </c>
    </row>
    <row r="18">
      <c r="A18" s="15">
        <v>17.0</v>
      </c>
      <c r="B18" s="16">
        <v>18611.0</v>
      </c>
      <c r="C18" s="16">
        <f t="shared" si="1"/>
        <v>32663</v>
      </c>
    </row>
    <row r="19">
      <c r="A19" s="15">
        <v>18.0</v>
      </c>
      <c r="B19" s="16">
        <v>-65868.0</v>
      </c>
      <c r="C19" s="16">
        <f t="shared" si="1"/>
        <v>2784.666667</v>
      </c>
    </row>
    <row r="20">
      <c r="A20" s="15">
        <v>19.0</v>
      </c>
      <c r="B20" s="16">
        <v>12041.0</v>
      </c>
      <c r="C20" s="16">
        <f t="shared" si="1"/>
        <v>-11738.66667</v>
      </c>
    </row>
    <row r="21">
      <c r="A21" s="15">
        <v>20.0</v>
      </c>
      <c r="B21" s="16">
        <v>26059.0</v>
      </c>
      <c r="C21" s="16">
        <f t="shared" si="1"/>
        <v>-9256</v>
      </c>
    </row>
    <row r="22">
      <c r="A22" s="15">
        <v>22.0</v>
      </c>
      <c r="B22" s="16">
        <v>-24073.0</v>
      </c>
      <c r="C22" s="16">
        <f t="shared" si="1"/>
        <v>4675.666667</v>
      </c>
    </row>
    <row r="23">
      <c r="A23" s="15">
        <v>23.0</v>
      </c>
      <c r="B23" s="16">
        <v>4022.0</v>
      </c>
      <c r="C23" s="16">
        <f t="shared" si="1"/>
        <v>2002.666667</v>
      </c>
    </row>
    <row r="24">
      <c r="A24" s="15">
        <v>24.0</v>
      </c>
      <c r="B24" s="16">
        <v>-94705.0</v>
      </c>
      <c r="C24" s="16">
        <f t="shared" si="1"/>
        <v>-38252</v>
      </c>
    </row>
    <row r="25">
      <c r="A25" s="15">
        <v>25.0</v>
      </c>
      <c r="B25" s="16">
        <v>9992.0</v>
      </c>
      <c r="C25" s="16">
        <f t="shared" si="1"/>
        <v>-26897</v>
      </c>
    </row>
    <row r="26">
      <c r="A26" s="15">
        <v>26.0</v>
      </c>
      <c r="B26" s="16">
        <v>20482.0</v>
      </c>
      <c r="C26" s="16">
        <f t="shared" si="1"/>
        <v>-21410.33333</v>
      </c>
    </row>
    <row r="27">
      <c r="A27" s="15">
        <v>27.0</v>
      </c>
      <c r="B27" s="16">
        <v>-13475.0</v>
      </c>
      <c r="C27" s="16">
        <f t="shared" si="1"/>
        <v>5666.333333</v>
      </c>
    </row>
    <row r="28">
      <c r="A28" s="15">
        <v>28.0</v>
      </c>
      <c r="B28" s="16">
        <v>8711.0</v>
      </c>
      <c r="C28" s="16">
        <f t="shared" si="1"/>
        <v>5239.333333</v>
      </c>
    </row>
    <row r="29">
      <c r="A29" s="15">
        <v>29.0</v>
      </c>
      <c r="B29" s="16">
        <v>66430.0</v>
      </c>
      <c r="C29" s="16">
        <f t="shared" si="1"/>
        <v>20555.33333</v>
      </c>
    </row>
    <row r="30">
      <c r="A30" s="15">
        <v>30.0</v>
      </c>
      <c r="B30" s="16">
        <v>-9186.0</v>
      </c>
      <c r="C30" s="16">
        <f t="shared" si="1"/>
        <v>21985</v>
      </c>
    </row>
    <row r="31">
      <c r="A31" s="15">
        <v>31.0</v>
      </c>
      <c r="B31" s="16">
        <v>-11082.0</v>
      </c>
      <c r="C31" s="16">
        <f t="shared" si="1"/>
        <v>15387.33333</v>
      </c>
    </row>
    <row r="32">
      <c r="A32" s="15">
        <v>32.0</v>
      </c>
      <c r="B32" s="16">
        <v>-8738.0</v>
      </c>
      <c r="C32" s="16">
        <f t="shared" si="1"/>
        <v>-9668.666667</v>
      </c>
    </row>
    <row r="33">
      <c r="A33" s="15">
        <v>33.0</v>
      </c>
      <c r="B33" s="16">
        <v>-43213.0</v>
      </c>
      <c r="C33" s="16">
        <f t="shared" si="1"/>
        <v>-21011</v>
      </c>
    </row>
    <row r="34">
      <c r="A34" s="15">
        <v>34.0</v>
      </c>
      <c r="B34" s="16">
        <v>3675.0</v>
      </c>
      <c r="C34" s="16">
        <f t="shared" si="1"/>
        <v>-16092</v>
      </c>
    </row>
    <row r="35">
      <c r="A35" s="15">
        <v>35.0</v>
      </c>
      <c r="B35" s="16">
        <v>67423.0</v>
      </c>
      <c r="C35" s="16">
        <f t="shared" si="1"/>
        <v>9295</v>
      </c>
    </row>
    <row r="36">
      <c r="A36" s="15">
        <v>36.0</v>
      </c>
      <c r="B36" s="16">
        <v>-1074.0</v>
      </c>
      <c r="C36" s="16">
        <f t="shared" si="1"/>
        <v>23341.33333</v>
      </c>
    </row>
    <row r="37">
      <c r="A37" s="15">
        <v>37.0</v>
      </c>
      <c r="B37" s="16">
        <v>-19799.0</v>
      </c>
      <c r="C37" s="16">
        <f t="shared" si="1"/>
        <v>15516.66667</v>
      </c>
    </row>
    <row r="38">
      <c r="A38" s="15">
        <v>38.0</v>
      </c>
      <c r="B38" s="16">
        <v>-60355.0</v>
      </c>
      <c r="C38" s="16">
        <f t="shared" si="1"/>
        <v>-27076</v>
      </c>
    </row>
    <row r="39">
      <c r="A39" s="15">
        <v>39.0</v>
      </c>
      <c r="B39" s="16">
        <v>-2170.0</v>
      </c>
      <c r="C39" s="16">
        <f t="shared" si="1"/>
        <v>-27441.33333</v>
      </c>
    </row>
    <row r="40">
      <c r="A40" s="15">
        <v>40.0</v>
      </c>
      <c r="B40" s="16">
        <v>10015.0</v>
      </c>
      <c r="C40" s="16">
        <f t="shared" si="1"/>
        <v>-17503.33333</v>
      </c>
    </row>
    <row r="41">
      <c r="A41" s="15">
        <v>41.0</v>
      </c>
      <c r="B41" s="16">
        <v>-4398.0</v>
      </c>
      <c r="C41" s="16">
        <f t="shared" si="1"/>
        <v>1149</v>
      </c>
    </row>
    <row r="42">
      <c r="A42" s="15">
        <v>42.0</v>
      </c>
      <c r="B42" s="16">
        <v>6980.0</v>
      </c>
      <c r="C42" s="16">
        <f t="shared" si="1"/>
        <v>4199</v>
      </c>
    </row>
    <row r="43">
      <c r="A43" s="15">
        <v>43.0</v>
      </c>
      <c r="B43" s="16">
        <v>177448.0</v>
      </c>
      <c r="C43" s="16">
        <f t="shared" si="1"/>
        <v>60010</v>
      </c>
    </row>
    <row r="44">
      <c r="A44" s="15">
        <v>44.0</v>
      </c>
      <c r="B44" s="16">
        <v>3984.0</v>
      </c>
      <c r="C44" s="16">
        <f t="shared" si="1"/>
        <v>62804</v>
      </c>
    </row>
    <row r="45">
      <c r="A45" s="15">
        <v>45.0</v>
      </c>
      <c r="B45" s="16">
        <v>11517.0</v>
      </c>
      <c r="C45" s="16">
        <f t="shared" si="1"/>
        <v>64316.33333</v>
      </c>
    </row>
    <row r="46">
      <c r="A46" s="15">
        <v>46.0</v>
      </c>
      <c r="B46" s="16">
        <v>13103.0</v>
      </c>
      <c r="C46" s="16">
        <f t="shared" si="1"/>
        <v>9534.666667</v>
      </c>
    </row>
    <row r="47">
      <c r="A47" s="15">
        <v>47.0</v>
      </c>
      <c r="B47" s="16">
        <v>-7767.0</v>
      </c>
      <c r="C47" s="16">
        <f t="shared" si="1"/>
        <v>5617.666667</v>
      </c>
    </row>
    <row r="48">
      <c r="A48" s="15">
        <v>48.0</v>
      </c>
      <c r="B48" s="16">
        <v>22644.0</v>
      </c>
      <c r="C48" s="16">
        <f t="shared" si="1"/>
        <v>9326.666667</v>
      </c>
    </row>
    <row r="49">
      <c r="A49" s="15">
        <v>49.0</v>
      </c>
      <c r="B49" s="16">
        <v>32427.0</v>
      </c>
      <c r="C49" s="16">
        <f t="shared" si="1"/>
        <v>15768</v>
      </c>
    </row>
    <row r="50">
      <c r="A50" s="15">
        <v>50.0</v>
      </c>
      <c r="B50" s="16">
        <v>-7711.0</v>
      </c>
      <c r="C50" s="16">
        <f t="shared" si="1"/>
        <v>15786.66667</v>
      </c>
    </row>
    <row r="51">
      <c r="A51" s="15">
        <v>51.0</v>
      </c>
      <c r="B51" s="16">
        <v>15158.0</v>
      </c>
      <c r="C51" s="16">
        <f t="shared" si="1"/>
        <v>13291.33333</v>
      </c>
    </row>
    <row r="52">
      <c r="A52" s="15">
        <v>52.0</v>
      </c>
      <c r="B52" s="16">
        <v>26553.0</v>
      </c>
      <c r="C52" s="16">
        <f t="shared" si="1"/>
        <v>11333.33333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86"/>
    <col customWidth="1" min="3" max="3" width="24.86"/>
  </cols>
  <sheetData>
    <row r="1">
      <c r="A1" s="33" t="s">
        <v>3</v>
      </c>
      <c r="B1" s="4" t="s">
        <v>446</v>
      </c>
      <c r="C1" s="4" t="s">
        <v>481</v>
      </c>
      <c r="E1" s="4" t="s">
        <v>482</v>
      </c>
    </row>
    <row r="2">
      <c r="A2" s="34" t="s">
        <v>449</v>
      </c>
      <c r="B2" s="15">
        <f>IFERROR(VLOOKUP(A2, 'Campaign Metadata'!A:E, 5, FALSE), "")
</f>
        <v>150000</v>
      </c>
      <c r="C2" s="15">
        <f>SUMIF(Posts!D:D, A2, Posts!U:U)
</f>
        <v>3107</v>
      </c>
      <c r="E2" s="15">
        <f>CORREL(B2:B5, C2:C5)
</f>
        <v>-0.4293947039</v>
      </c>
    </row>
    <row r="3">
      <c r="A3" s="34" t="s">
        <v>453</v>
      </c>
      <c r="B3" s="15">
        <f>IFERROR(VLOOKUP(A3, 'Campaign Metadata'!A:E, 5, FALSE), "")
</f>
        <v>200000</v>
      </c>
      <c r="C3" s="15">
        <f>SUMIF(Posts!D:D, A3, Posts!U:U)
</f>
        <v>3829</v>
      </c>
    </row>
    <row r="4">
      <c r="A4" s="34" t="s">
        <v>457</v>
      </c>
      <c r="B4" s="15">
        <f>IFERROR(VLOOKUP(A4, 'Campaign Metadata'!A:E, 5, FALSE), "")
</f>
        <v>250000</v>
      </c>
      <c r="C4" s="15">
        <f>SUMIF(Posts!D:D, A4, Posts!U:U)
</f>
        <v>276</v>
      </c>
    </row>
    <row r="5">
      <c r="A5" s="34" t="s">
        <v>461</v>
      </c>
      <c r="B5" s="15">
        <f>IFERROR(VLOOKUP(A5, 'Campaign Metadata'!A:E, 5, FALSE), "")
</f>
        <v>180000</v>
      </c>
      <c r="C5" s="15">
        <f>SUMIF(Posts!D:D, A5, Posts!U:U)
</f>
        <v>0</v>
      </c>
    </row>
  </sheetData>
  <drawing r:id="rId1"/>
</worksheet>
</file>